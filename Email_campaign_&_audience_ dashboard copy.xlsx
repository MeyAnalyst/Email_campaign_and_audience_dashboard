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hidePivotFieldList="1"/>
  <mc:AlternateContent xmlns:mc="http://schemas.openxmlformats.org/markup-compatibility/2006">
    <mc:Choice Requires="x15">
      <x15ac:absPath xmlns:x15ac="http://schemas.microsoft.com/office/spreadsheetml/2010/11/ac" url="/Users/mey875/Desktop/Interview task/Clarion Event/Last changes/Updated dashboard/"/>
    </mc:Choice>
  </mc:AlternateContent>
  <xr:revisionPtr revIDLastSave="0" documentId="13_ncr:1_{4D2BF9D6-3040-C448-821B-B835CA9B67F3}" xr6:coauthVersionLast="41" xr6:coauthVersionMax="47" xr10:uidLastSave="{00000000-0000-0000-0000-000000000000}"/>
  <bookViews>
    <workbookView xWindow="9740" yWindow="500" windowWidth="19060" windowHeight="16620" activeTab="1" xr2:uid="{00000000-000D-0000-FFFF-FFFF00000000}"/>
  </bookViews>
  <sheets>
    <sheet name="Target Audience (Dashboard) " sheetId="31" r:id="rId1"/>
    <sheet name="Email Performance (Dashboard)" sheetId="32" r:id="rId2"/>
    <sheet name="Sector" sheetId="33" r:id="rId3"/>
    <sheet name="Seniority" sheetId="17" r:id="rId4"/>
    <sheet name="Subscriber growth" sheetId="30" r:id="rId5"/>
    <sheet name="New subscriber by source" sheetId="20" r:id="rId6"/>
    <sheet name="Best worst campaign" sheetId="28" r:id="rId7"/>
    <sheet name="Email performance per campaign " sheetId="24" r:id="rId8"/>
    <sheet name="Email performance over time " sheetId="13" r:id="rId9"/>
    <sheet name="Key Target Audience" sheetId="4" r:id="rId10"/>
    <sheet name="Contact Database" sheetId="2" r:id="rId11"/>
    <sheet name="2024 Email Campaign" sheetId="3" r:id="rId12"/>
  </sheets>
  <definedNames>
    <definedName name="_xlnm._FilterDatabase" localSheetId="11" hidden="1">'2024 Email Campaign'!$A$1:$Y$225</definedName>
    <definedName name="_xlnm._FilterDatabase" localSheetId="10" hidden="1">'Contact Database'!$A$1:$K$1253</definedName>
    <definedName name="NativeTimeline_Created_date">#N/A</definedName>
    <definedName name="NativeTimeline_Sent_On">#N/A</definedName>
    <definedName name="Slicer_Campaign_Name">#N/A</definedName>
    <definedName name="Slicer_Company_Type">#N/A</definedName>
    <definedName name="Slicer_Country">#N/A</definedName>
    <definedName name="Slicer_Region">#N/A</definedName>
    <definedName name="Slicer_Seniority">#N/A</definedName>
    <definedName name="Slicer_Subject_Line">#N/A</definedName>
    <definedName name="Slicer_Time_sent">#N/A</definedName>
  </definedNames>
  <calcPr calcId="191029"/>
  <pivotCaches>
    <pivotCache cacheId="23" r:id="rId13"/>
    <pivotCache cacheId="24"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28" l="1"/>
  <c r="E3" i="28"/>
  <c r="D4" i="28"/>
  <c r="E4" i="28"/>
  <c r="D5" i="28"/>
  <c r="E5" i="28"/>
  <c r="D6" i="28"/>
  <c r="E6" i="28"/>
  <c r="D7" i="28"/>
  <c r="E7" i="28"/>
  <c r="D8" i="28"/>
  <c r="E8" i="28"/>
  <c r="D9" i="28"/>
  <c r="E9" i="28"/>
  <c r="D10" i="28"/>
  <c r="E10" i="28"/>
  <c r="D11" i="28"/>
  <c r="E11" i="28"/>
  <c r="D12" i="28"/>
  <c r="E12" i="28"/>
  <c r="D13" i="28"/>
  <c r="E13" i="28"/>
  <c r="D14" i="28"/>
  <c r="E14" i="28"/>
  <c r="D15" i="28"/>
  <c r="E15" i="28"/>
  <c r="D16" i="28"/>
  <c r="E16" i="28"/>
  <c r="D17" i="28"/>
  <c r="E17" i="28"/>
  <c r="D18" i="28"/>
  <c r="E18" i="28"/>
  <c r="D19" i="28"/>
  <c r="E19" i="28"/>
  <c r="D20" i="28"/>
  <c r="E20" i="28"/>
  <c r="D21" i="28"/>
  <c r="E21" i="28"/>
  <c r="D22" i="28"/>
  <c r="E22" i="28"/>
  <c r="D23" i="28"/>
  <c r="E23" i="28"/>
  <c r="D24" i="28"/>
  <c r="E24" i="28"/>
  <c r="U3" i="3"/>
  <c r="U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 i="3"/>
  <c r="W2" i="3"/>
  <c r="V2" i="3"/>
  <c r="Q2" i="3"/>
  <c r="R2" i="3"/>
  <c r="Y2" i="3"/>
  <c r="F21" i="28" l="1"/>
  <c r="F17" i="28"/>
  <c r="F13" i="28"/>
  <c r="F9" i="28"/>
  <c r="F5" i="28"/>
  <c r="F23" i="28"/>
  <c r="F19" i="28"/>
  <c r="F15" i="28"/>
  <c r="F11" i="28"/>
  <c r="F7" i="28"/>
  <c r="G24" i="28"/>
  <c r="G22" i="28"/>
  <c r="G20" i="28"/>
  <c r="G18" i="28"/>
  <c r="G16" i="28"/>
  <c r="G14" i="28"/>
  <c r="G12" i="28"/>
  <c r="G10" i="28"/>
  <c r="G8" i="28"/>
  <c r="G6" i="28"/>
  <c r="G4" i="28"/>
  <c r="F24" i="28"/>
  <c r="F22" i="28"/>
  <c r="F20" i="28"/>
  <c r="F18" i="28"/>
  <c r="F16" i="28"/>
  <c r="F14" i="28"/>
  <c r="F12" i="28"/>
  <c r="F10" i="28"/>
  <c r="F8" i="28"/>
  <c r="F6" i="28"/>
  <c r="F4" i="28"/>
  <c r="G23" i="28"/>
  <c r="G21" i="28"/>
  <c r="G19" i="28"/>
  <c r="G17" i="28"/>
  <c r="G15" i="28"/>
  <c r="G13" i="28"/>
  <c r="G11" i="28"/>
  <c r="G9" i="28"/>
  <c r="G7" i="28"/>
  <c r="G5" i="28"/>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S141" i="3" l="1"/>
  <c r="T141" i="3"/>
  <c r="T192" i="3"/>
  <c r="S192" i="3"/>
  <c r="T144" i="3"/>
  <c r="S144" i="3"/>
  <c r="T112" i="3"/>
  <c r="S112" i="3"/>
  <c r="T80" i="3"/>
  <c r="S80" i="3"/>
  <c r="T48" i="3"/>
  <c r="S48" i="3"/>
  <c r="S16" i="3"/>
  <c r="T16" i="3"/>
  <c r="S223" i="3"/>
  <c r="T223" i="3"/>
  <c r="T191" i="3"/>
  <c r="S191" i="3"/>
  <c r="S151" i="3"/>
  <c r="T151" i="3"/>
  <c r="T111" i="3"/>
  <c r="S111" i="3"/>
  <c r="S79" i="3"/>
  <c r="T79" i="3"/>
  <c r="S47" i="3"/>
  <c r="T47" i="3"/>
  <c r="S15" i="3"/>
  <c r="T15" i="3"/>
  <c r="T206" i="3"/>
  <c r="S206" i="3"/>
  <c r="S174" i="3"/>
  <c r="T174" i="3"/>
  <c r="S142" i="3"/>
  <c r="T142" i="3"/>
  <c r="S110" i="3"/>
  <c r="T110" i="3"/>
  <c r="S70" i="3"/>
  <c r="T70" i="3"/>
  <c r="T30" i="3"/>
  <c r="S30" i="3"/>
  <c r="S69" i="3"/>
  <c r="T69" i="3"/>
  <c r="T37" i="3"/>
  <c r="S37" i="3"/>
  <c r="T5" i="3"/>
  <c r="S5" i="3"/>
  <c r="T220" i="3"/>
  <c r="S220" i="3"/>
  <c r="S212" i="3"/>
  <c r="T212" i="3"/>
  <c r="T204" i="3"/>
  <c r="S204" i="3"/>
  <c r="S196" i="3"/>
  <c r="T196" i="3"/>
  <c r="T188" i="3"/>
  <c r="S188" i="3"/>
  <c r="T180" i="3"/>
  <c r="S180" i="3"/>
  <c r="S172" i="3"/>
  <c r="T172" i="3"/>
  <c r="S164" i="3"/>
  <c r="T164" i="3"/>
  <c r="T156" i="3"/>
  <c r="S156" i="3"/>
  <c r="S148" i="3"/>
  <c r="T148" i="3"/>
  <c r="T140" i="3"/>
  <c r="S140" i="3"/>
  <c r="S132" i="3"/>
  <c r="T132" i="3"/>
  <c r="S124" i="3"/>
  <c r="T124" i="3"/>
  <c r="T116" i="3"/>
  <c r="S116" i="3"/>
  <c r="S108" i="3"/>
  <c r="T108" i="3"/>
  <c r="T100" i="3"/>
  <c r="S100" i="3"/>
  <c r="T92" i="3"/>
  <c r="S92" i="3"/>
  <c r="T84" i="3"/>
  <c r="S84" i="3"/>
  <c r="T76" i="3"/>
  <c r="S76" i="3"/>
  <c r="T68" i="3"/>
  <c r="S68" i="3"/>
  <c r="T60" i="3"/>
  <c r="S60" i="3"/>
  <c r="T52" i="3"/>
  <c r="S52" i="3"/>
  <c r="T44" i="3"/>
  <c r="S44" i="3"/>
  <c r="T36" i="3"/>
  <c r="S36" i="3"/>
  <c r="T28" i="3"/>
  <c r="S28" i="3"/>
  <c r="T20" i="3"/>
  <c r="S20" i="3"/>
  <c r="T12" i="3"/>
  <c r="S12" i="3"/>
  <c r="T4" i="3"/>
  <c r="S4" i="3"/>
  <c r="S224" i="3"/>
  <c r="T224" i="3"/>
  <c r="T200" i="3"/>
  <c r="S200" i="3"/>
  <c r="S184" i="3"/>
  <c r="T184" i="3"/>
  <c r="S168" i="3"/>
  <c r="T168" i="3"/>
  <c r="T152" i="3"/>
  <c r="S152" i="3"/>
  <c r="S120" i="3"/>
  <c r="T120" i="3"/>
  <c r="T88" i="3"/>
  <c r="S88" i="3"/>
  <c r="S56" i="3"/>
  <c r="T56" i="3"/>
  <c r="S32" i="3"/>
  <c r="T32" i="3"/>
  <c r="S199" i="3"/>
  <c r="T199" i="3"/>
  <c r="T167" i="3"/>
  <c r="S167" i="3"/>
  <c r="T135" i="3"/>
  <c r="S135" i="3"/>
  <c r="T103" i="3"/>
  <c r="S103" i="3"/>
  <c r="T63" i="3"/>
  <c r="S63" i="3"/>
  <c r="S31" i="3"/>
  <c r="T31" i="3"/>
  <c r="S222" i="3"/>
  <c r="T222" i="3"/>
  <c r="T198" i="3"/>
  <c r="S198" i="3"/>
  <c r="T166" i="3"/>
  <c r="S166" i="3"/>
  <c r="T134" i="3"/>
  <c r="S134" i="3"/>
  <c r="T102" i="3"/>
  <c r="S102" i="3"/>
  <c r="S86" i="3"/>
  <c r="T86" i="3"/>
  <c r="S54" i="3"/>
  <c r="T54" i="3"/>
  <c r="S22" i="3"/>
  <c r="T22" i="3"/>
  <c r="S213" i="3"/>
  <c r="T213" i="3"/>
  <c r="T181" i="3"/>
  <c r="S181" i="3"/>
  <c r="S149" i="3"/>
  <c r="T149" i="3"/>
  <c r="T117" i="3"/>
  <c r="S117" i="3"/>
  <c r="T101" i="3"/>
  <c r="S101" i="3"/>
  <c r="S85" i="3"/>
  <c r="T85" i="3"/>
  <c r="S61" i="3"/>
  <c r="T61" i="3"/>
  <c r="S29" i="3"/>
  <c r="T29" i="3"/>
  <c r="T219" i="3"/>
  <c r="S219" i="3"/>
  <c r="T211" i="3"/>
  <c r="S211" i="3"/>
  <c r="T203" i="3"/>
  <c r="S203" i="3"/>
  <c r="T195" i="3"/>
  <c r="S195" i="3"/>
  <c r="S187" i="3"/>
  <c r="T187" i="3"/>
  <c r="T179" i="3"/>
  <c r="S179" i="3"/>
  <c r="S171" i="3"/>
  <c r="T171" i="3"/>
  <c r="T163" i="3"/>
  <c r="S163" i="3"/>
  <c r="S155" i="3"/>
  <c r="T155" i="3"/>
  <c r="T147" i="3"/>
  <c r="S147" i="3"/>
  <c r="S139" i="3"/>
  <c r="T139" i="3"/>
  <c r="S131" i="3"/>
  <c r="T131" i="3"/>
  <c r="S123" i="3"/>
  <c r="T123" i="3"/>
  <c r="T115" i="3"/>
  <c r="S115" i="3"/>
  <c r="S107" i="3"/>
  <c r="T107" i="3"/>
  <c r="S99" i="3"/>
  <c r="T99" i="3"/>
  <c r="S91" i="3"/>
  <c r="T91" i="3"/>
  <c r="S83" i="3"/>
  <c r="T83" i="3"/>
  <c r="S75" i="3"/>
  <c r="T75" i="3"/>
  <c r="S67" i="3"/>
  <c r="T67" i="3"/>
  <c r="S59" i="3"/>
  <c r="T59" i="3"/>
  <c r="S51" i="3"/>
  <c r="T51" i="3"/>
  <c r="S43" i="3"/>
  <c r="T43" i="3"/>
  <c r="S35" i="3"/>
  <c r="T35" i="3"/>
  <c r="S27" i="3"/>
  <c r="T27" i="3"/>
  <c r="S19" i="3"/>
  <c r="T19" i="3"/>
  <c r="T11" i="3"/>
  <c r="S11" i="3"/>
  <c r="S3" i="3"/>
  <c r="T3" i="3"/>
  <c r="S208" i="3"/>
  <c r="T208" i="3"/>
  <c r="T160" i="3"/>
  <c r="S160" i="3"/>
  <c r="T128" i="3"/>
  <c r="S128" i="3"/>
  <c r="S96" i="3"/>
  <c r="T96" i="3"/>
  <c r="T64" i="3"/>
  <c r="S64" i="3"/>
  <c r="S24" i="3"/>
  <c r="T24" i="3"/>
  <c r="S207" i="3"/>
  <c r="T207" i="3"/>
  <c r="S183" i="3"/>
  <c r="T183" i="3"/>
  <c r="S159" i="3"/>
  <c r="T159" i="3"/>
  <c r="T127" i="3"/>
  <c r="S127" i="3"/>
  <c r="S95" i="3"/>
  <c r="T95" i="3"/>
  <c r="S71" i="3"/>
  <c r="T71" i="3"/>
  <c r="T39" i="3"/>
  <c r="S39" i="3"/>
  <c r="S7" i="3"/>
  <c r="T7" i="3"/>
  <c r="S190" i="3"/>
  <c r="T190" i="3"/>
  <c r="T158" i="3"/>
  <c r="S158" i="3"/>
  <c r="S126" i="3"/>
  <c r="T126" i="3"/>
  <c r="S94" i="3"/>
  <c r="T94" i="3"/>
  <c r="T62" i="3"/>
  <c r="S62" i="3"/>
  <c r="T38" i="3"/>
  <c r="S38" i="3"/>
  <c r="S6" i="3"/>
  <c r="T6" i="3"/>
  <c r="S221" i="3"/>
  <c r="T221" i="3"/>
  <c r="T197" i="3"/>
  <c r="S197" i="3"/>
  <c r="S173" i="3"/>
  <c r="T173" i="3"/>
  <c r="S157" i="3"/>
  <c r="T157" i="3"/>
  <c r="T133" i="3"/>
  <c r="S133" i="3"/>
  <c r="S109" i="3"/>
  <c r="T109" i="3"/>
  <c r="T77" i="3"/>
  <c r="S77" i="3"/>
  <c r="S45" i="3"/>
  <c r="T45" i="3"/>
  <c r="T13" i="3"/>
  <c r="S13" i="3"/>
  <c r="T218" i="3"/>
  <c r="S218" i="3"/>
  <c r="T210" i="3"/>
  <c r="S210" i="3"/>
  <c r="T202" i="3"/>
  <c r="S202" i="3"/>
  <c r="T194" i="3"/>
  <c r="S194" i="3"/>
  <c r="T186" i="3"/>
  <c r="S186" i="3"/>
  <c r="T178" i="3"/>
  <c r="S178" i="3"/>
  <c r="T170" i="3"/>
  <c r="S170" i="3"/>
  <c r="T162" i="3"/>
  <c r="S162" i="3"/>
  <c r="T154" i="3"/>
  <c r="S154" i="3"/>
  <c r="T146" i="3"/>
  <c r="S146" i="3"/>
  <c r="T138" i="3"/>
  <c r="S138" i="3"/>
  <c r="T130" i="3"/>
  <c r="S130" i="3"/>
  <c r="T122" i="3"/>
  <c r="S122" i="3"/>
  <c r="T114" i="3"/>
  <c r="S114" i="3"/>
  <c r="T106" i="3"/>
  <c r="S106" i="3"/>
  <c r="T98" i="3"/>
  <c r="S98" i="3"/>
  <c r="T90" i="3"/>
  <c r="S90" i="3"/>
  <c r="T82" i="3"/>
  <c r="S82" i="3"/>
  <c r="T74" i="3"/>
  <c r="S74" i="3"/>
  <c r="T66" i="3"/>
  <c r="S66" i="3"/>
  <c r="T58" i="3"/>
  <c r="S58" i="3"/>
  <c r="T50" i="3"/>
  <c r="S50" i="3"/>
  <c r="T42" i="3"/>
  <c r="S42" i="3"/>
  <c r="T34" i="3"/>
  <c r="S34" i="3"/>
  <c r="T26" i="3"/>
  <c r="S26" i="3"/>
  <c r="T18" i="3"/>
  <c r="S18" i="3"/>
  <c r="T10" i="3"/>
  <c r="S10" i="3"/>
  <c r="S2" i="3"/>
  <c r="T216" i="3"/>
  <c r="S216" i="3"/>
  <c r="T176" i="3"/>
  <c r="S176" i="3"/>
  <c r="T136" i="3"/>
  <c r="S136" i="3"/>
  <c r="S104" i="3"/>
  <c r="T104" i="3"/>
  <c r="S72" i="3"/>
  <c r="T72" i="3"/>
  <c r="S40" i="3"/>
  <c r="T40" i="3"/>
  <c r="S8" i="3"/>
  <c r="T8" i="3"/>
  <c r="S215" i="3"/>
  <c r="T215" i="3"/>
  <c r="T175" i="3"/>
  <c r="S175" i="3"/>
  <c r="S143" i="3"/>
  <c r="T143" i="3"/>
  <c r="S119" i="3"/>
  <c r="T119" i="3"/>
  <c r="T87" i="3"/>
  <c r="S87" i="3"/>
  <c r="T55" i="3"/>
  <c r="S55" i="3"/>
  <c r="T23" i="3"/>
  <c r="S23" i="3"/>
  <c r="S214" i="3"/>
  <c r="T214" i="3"/>
  <c r="S182" i="3"/>
  <c r="T182" i="3"/>
  <c r="S150" i="3"/>
  <c r="T150" i="3"/>
  <c r="S118" i="3"/>
  <c r="T118" i="3"/>
  <c r="T78" i="3"/>
  <c r="S78" i="3"/>
  <c r="S46" i="3"/>
  <c r="T46" i="3"/>
  <c r="T14" i="3"/>
  <c r="S14" i="3"/>
  <c r="T205" i="3"/>
  <c r="S205" i="3"/>
  <c r="T189" i="3"/>
  <c r="S189" i="3"/>
  <c r="T165" i="3"/>
  <c r="S165" i="3"/>
  <c r="S125" i="3"/>
  <c r="T125" i="3"/>
  <c r="S93" i="3"/>
  <c r="T93" i="3"/>
  <c r="T53" i="3"/>
  <c r="S53" i="3"/>
  <c r="S21" i="3"/>
  <c r="T21" i="3"/>
  <c r="S225" i="3"/>
  <c r="T225" i="3"/>
  <c r="S217" i="3"/>
  <c r="T217" i="3"/>
  <c r="S209" i="3"/>
  <c r="T209" i="3"/>
  <c r="S201" i="3"/>
  <c r="T201" i="3"/>
  <c r="S193" i="3"/>
  <c r="T193" i="3"/>
  <c r="S185" i="3"/>
  <c r="T185" i="3"/>
  <c r="S177" i="3"/>
  <c r="T177" i="3"/>
  <c r="S169" i="3"/>
  <c r="T169" i="3"/>
  <c r="S161" i="3"/>
  <c r="T161" i="3"/>
  <c r="S153" i="3"/>
  <c r="T153" i="3"/>
  <c r="S145" i="3"/>
  <c r="T145" i="3"/>
  <c r="S137" i="3"/>
  <c r="T137" i="3"/>
  <c r="S129" i="3"/>
  <c r="T129" i="3"/>
  <c r="S121" i="3"/>
  <c r="T121" i="3"/>
  <c r="S113" i="3"/>
  <c r="T113" i="3"/>
  <c r="S105" i="3"/>
  <c r="T105" i="3"/>
  <c r="S97" i="3"/>
  <c r="T97" i="3"/>
  <c r="S89" i="3"/>
  <c r="T89" i="3"/>
  <c r="S81" i="3"/>
  <c r="T81" i="3"/>
  <c r="S73" i="3"/>
  <c r="T73" i="3"/>
  <c r="S65" i="3"/>
  <c r="T65" i="3"/>
  <c r="S57" i="3"/>
  <c r="T57" i="3"/>
  <c r="S49" i="3"/>
  <c r="T49" i="3"/>
  <c r="S41" i="3"/>
  <c r="T41" i="3"/>
  <c r="S33" i="3"/>
  <c r="T33" i="3"/>
  <c r="S25" i="3"/>
  <c r="T25" i="3"/>
  <c r="S17" i="3"/>
  <c r="T17" i="3"/>
  <c r="S9" i="3"/>
  <c r="T9" i="3"/>
  <c r="T2" i="3"/>
</calcChain>
</file>

<file path=xl/sharedStrings.xml><?xml version="1.0" encoding="utf-8"?>
<sst xmlns="http://schemas.openxmlformats.org/spreadsheetml/2006/main" count="6997" uniqueCount="1109">
  <si>
    <t>Contact ID</t>
  </si>
  <si>
    <t>Company Type</t>
  </si>
  <si>
    <t>Country</t>
  </si>
  <si>
    <t>Source</t>
  </si>
  <si>
    <t>Last activity date</t>
  </si>
  <si>
    <t>ElevateBio</t>
  </si>
  <si>
    <t>MyCellHub</t>
  </si>
  <si>
    <t>Single Use Support</t>
  </si>
  <si>
    <t>Stemcell Technologies</t>
  </si>
  <si>
    <t>WellSky</t>
  </si>
  <si>
    <t>Director of Sales</t>
  </si>
  <si>
    <t>Head of Marketing</t>
  </si>
  <si>
    <t>Product Manager</t>
  </si>
  <si>
    <t>1315 Capital</t>
  </si>
  <si>
    <t>3P innovation</t>
  </si>
  <si>
    <t>908 Devices</t>
  </si>
  <si>
    <t>AABB</t>
  </si>
  <si>
    <t>AavantiBio</t>
  </si>
  <si>
    <t>ABL Biomanufacturing</t>
  </si>
  <si>
    <t>Accellix</t>
  </si>
  <si>
    <t xml:space="preserve">Achilles Therapeutics </t>
  </si>
  <si>
    <t>Adaptimmune</t>
  </si>
  <si>
    <t>Adicet bio</t>
  </si>
  <si>
    <t>adthera bio</t>
  </si>
  <si>
    <t xml:space="preserve">Adva biotechnology </t>
  </si>
  <si>
    <t>Advent Bioservices</t>
  </si>
  <si>
    <t>AGC Biologics</t>
  </si>
  <si>
    <t>Akadeum Life Sciences</t>
  </si>
  <si>
    <t>Akeso</t>
  </si>
  <si>
    <t>Akron Bio</t>
  </si>
  <si>
    <t>Alder Therapeutics</t>
  </si>
  <si>
    <t>Alder Therapeutics AB</t>
  </si>
  <si>
    <t>Aldevron</t>
  </si>
  <si>
    <t>Alliance for Regenerative Medicine</t>
  </si>
  <si>
    <t>AllosteRx Capital</t>
  </si>
  <si>
    <t>American Society of Gene &amp; Cell Therapy</t>
  </si>
  <si>
    <t>AmplifyBio</t>
  </si>
  <si>
    <t>Andelyn Biosciences</t>
  </si>
  <si>
    <t>Anthony Nolan</t>
  </si>
  <si>
    <t>Antion Biosciences</t>
  </si>
  <si>
    <t>Apprentice</t>
  </si>
  <si>
    <t>Aptamer Group</t>
  </si>
  <si>
    <t>Arbor Biotechnologies</t>
  </si>
  <si>
    <t>Arcellx</t>
  </si>
  <si>
    <t>ArchiMed</t>
  </si>
  <si>
    <t>ArcticZymes</t>
  </si>
  <si>
    <t>ARMI | BioFabUSA</t>
  </si>
  <si>
    <t>Arvato Supply Chain Solutions</t>
  </si>
  <si>
    <t>Asimov</t>
  </si>
  <si>
    <t>Aspen Neuroscience</t>
  </si>
  <si>
    <t>Association for the Advancement of Blood and Biotherapies (AABB)</t>
  </si>
  <si>
    <t>AST</t>
  </si>
  <si>
    <t>Astrea Bioseparations</t>
  </si>
  <si>
    <t>Athenex</t>
  </si>
  <si>
    <t>Athersys</t>
  </si>
  <si>
    <t xml:space="preserve">Autolomous </t>
  </si>
  <si>
    <t>Avectas</t>
  </si>
  <si>
    <t>Avego Management</t>
  </si>
  <si>
    <t>AviadoBio</t>
  </si>
  <si>
    <t>Avobis Bio</t>
  </si>
  <si>
    <t>AVROBIO</t>
  </si>
  <si>
    <t>Azenta Life Sciences</t>
  </si>
  <si>
    <t xml:space="preserve">Azenta Life Sciences </t>
  </si>
  <si>
    <t>Barkey Corporation</t>
  </si>
  <si>
    <t>Bausch+Stroebel</t>
  </si>
  <si>
    <t>Be The Match BioTherapies</t>
  </si>
  <si>
    <t>Be The Match Biotherapies</t>
  </si>
  <si>
    <t>Be The Match/NMDP</t>
  </si>
  <si>
    <t>Bellicum Pharmaceuticals</t>
  </si>
  <si>
    <t>BioBridge Global</t>
  </si>
  <si>
    <t>BioCentriq</t>
  </si>
  <si>
    <t>BioLamina</t>
  </si>
  <si>
    <t>BioLamina AB</t>
  </si>
  <si>
    <t>BioLife Solutions</t>
  </si>
  <si>
    <t>BioMagnetic Solutions</t>
  </si>
  <si>
    <t>bioMérieux</t>
  </si>
  <si>
    <t>Bionique Testing Laboratories</t>
  </si>
  <si>
    <t>BioNTech US</t>
  </si>
  <si>
    <t>Biopharma Excellence</t>
  </si>
  <si>
    <t>Biopharma Excellence by PharmaLex</t>
  </si>
  <si>
    <t>BioProcessing Journal</t>
  </si>
  <si>
    <t>BioSolution Designs</t>
  </si>
  <si>
    <t>Bio-Techne</t>
  </si>
  <si>
    <t>bluebird bio</t>
  </si>
  <si>
    <t>Bluesphere Bio</t>
  </si>
  <si>
    <t>BMS</t>
  </si>
  <si>
    <t>Bohlander Stem Cell Research Laboratory</t>
  </si>
  <si>
    <t>Bradley University</t>
  </si>
  <si>
    <t>Bristol Myers Squibb</t>
  </si>
  <si>
    <t>BroadOak Capital Partners</t>
  </si>
  <si>
    <t>Buchanan Ingersoll &amp; Rooney PC</t>
  </si>
  <si>
    <t>Business Consultant</t>
  </si>
  <si>
    <t>Cabaletta Bio</t>
  </si>
  <si>
    <t>CAI</t>
  </si>
  <si>
    <t>Cambridge Consultants</t>
  </si>
  <si>
    <t>Canadian Advanced Therapies Training Institute (CATTI)</t>
  </si>
  <si>
    <t>Cancer Research Institute</t>
  </si>
  <si>
    <t>Caribou Biosciences</t>
  </si>
  <si>
    <t>Caring Cross</t>
  </si>
  <si>
    <t>Carisma Therapeutics</t>
  </si>
  <si>
    <t>Carter BLoodCare</t>
  </si>
  <si>
    <t>Catalent Cell Gene Therapy</t>
  </si>
  <si>
    <t>CCRM</t>
  </si>
  <si>
    <t xml:space="preserve">CDMO Cell and Gene by Eurofins </t>
  </si>
  <si>
    <t>Cell &amp; Gene Therapy Catapult</t>
  </si>
  <si>
    <t>Cell Matters / Cryoport Systems</t>
  </si>
  <si>
    <t>Cell One Partners</t>
  </si>
  <si>
    <t>Cellatoz Therapeutics</t>
  </si>
  <si>
    <t>Cellectis</t>
  </si>
  <si>
    <t>Cellipont Bioservices</t>
  </si>
  <si>
    <t xml:space="preserve">Cellipont Bioservices </t>
  </si>
  <si>
    <t>Cellistic</t>
  </si>
  <si>
    <t>Cells for Cells</t>
  </si>
  <si>
    <t>Cellsbin</t>
  </si>
  <si>
    <t>Cellular Origins</t>
  </si>
  <si>
    <t>Center for Breakthrough Medicines</t>
  </si>
  <si>
    <t>Chamber of Commerce for Greater Philadelphia</t>
  </si>
  <si>
    <t>Charles River</t>
  </si>
  <si>
    <t xml:space="preserve">Charles River </t>
  </si>
  <si>
    <t>Charles River Laboratories</t>
  </si>
  <si>
    <t>Chimeric Therapeutics</t>
  </si>
  <si>
    <t>Citra BioConsulting</t>
  </si>
  <si>
    <t>Clear Innovation</t>
  </si>
  <si>
    <t>Command Medical Products</t>
  </si>
  <si>
    <t xml:space="preserve">Corning Life Sciences </t>
  </si>
  <si>
    <t>CRISPR Therapeutics</t>
  </si>
  <si>
    <t>Cryoport Systems</t>
  </si>
  <si>
    <t>CSafe</t>
  </si>
  <si>
    <t>CSL Behring</t>
  </si>
  <si>
    <t>Curate Biosciences</t>
  </si>
  <si>
    <t>Cytotheryx</t>
  </si>
  <si>
    <t>Dana-Farber Cancer Institute</t>
  </si>
  <si>
    <t>Danaher Corporation</t>
  </si>
  <si>
    <t>Delin Ventures</t>
  </si>
  <si>
    <t>Deloitte</t>
  </si>
  <si>
    <t>Dendreon</t>
  </si>
  <si>
    <t>Despir Logistics</t>
  </si>
  <si>
    <t>DeSpir Logistics</t>
  </si>
  <si>
    <t>Dynamk Capital</t>
  </si>
  <si>
    <t>Ecolab</t>
  </si>
  <si>
    <t>Eikonoklastes Therapeutics</t>
  </si>
  <si>
    <t>Emerson Automation Solutions</t>
  </si>
  <si>
    <t>Emerson Automation solutions</t>
  </si>
  <si>
    <t>Entegris</t>
  </si>
  <si>
    <t>Essent Biologics</t>
  </si>
  <si>
    <t>Eureka Bio</t>
  </si>
  <si>
    <t>Exacis Biotherapeutics</t>
  </si>
  <si>
    <t>Exothera</t>
  </si>
  <si>
    <t>Florida International University, Herbert Wertheim College of Medicine</t>
  </si>
  <si>
    <t>Forge Biologics</t>
  </si>
  <si>
    <t>Foundation for Angelman Syndrome Therapeutics</t>
  </si>
  <si>
    <t>Foundation for the Accreditation of Cellular Therapy</t>
  </si>
  <si>
    <t>Fraunhofer IZI</t>
  </si>
  <si>
    <t>Freeline Therapeutics</t>
  </si>
  <si>
    <t>Fresenius Kabi</t>
  </si>
  <si>
    <t>FTI Consulting</t>
  </si>
  <si>
    <t xml:space="preserve">FTI Consulting </t>
  </si>
  <si>
    <t>Gagnon Securities</t>
  </si>
  <si>
    <t>Gamma Biosciences</t>
  </si>
  <si>
    <t>G-CON</t>
  </si>
  <si>
    <t>Genemagic Biosciences</t>
  </si>
  <si>
    <t>Genesis</t>
  </si>
  <si>
    <t>Genesis AEC</t>
  </si>
  <si>
    <t>Genezen</t>
  </si>
  <si>
    <t>Gift of Life Biologics</t>
  </si>
  <si>
    <t>Gift of Life Marrow Registry</t>
  </si>
  <si>
    <t>Global OT/IT Quality Services</t>
  </si>
  <si>
    <t>GRIFOLS</t>
  </si>
  <si>
    <t>GSK</t>
  </si>
  <si>
    <t>Gyroscope Therapeutics</t>
  </si>
  <si>
    <t>Hackensack university Medical Center</t>
  </si>
  <si>
    <t>HebeCell Corp</t>
  </si>
  <si>
    <t>Heidrick &amp; Struggles</t>
  </si>
  <si>
    <t xml:space="preserve">Heidrick &amp; Struggles </t>
  </si>
  <si>
    <t>Hypertrust Patient Data Care</t>
  </si>
  <si>
    <t>Immatics</t>
  </si>
  <si>
    <t>Ingenious e-Brain</t>
  </si>
  <si>
    <t>InnovaVector</t>
  </si>
  <si>
    <t>InspiraTherapeutics</t>
  </si>
  <si>
    <t>Instil Bio</t>
  </si>
  <si>
    <t xml:space="preserve">Intellia </t>
  </si>
  <si>
    <t>Invetech</t>
  </si>
  <si>
    <t>Iovance Biotherapeutics</t>
  </si>
  <si>
    <t>IQVIA</t>
  </si>
  <si>
    <t xml:space="preserve">IQVIA </t>
  </si>
  <si>
    <t>Janssen Pharmaceuticals</t>
  </si>
  <si>
    <t>Jefferson Institute for Bioprocessing</t>
  </si>
  <si>
    <t>Kings College London</t>
  </si>
  <si>
    <t>Kite Pharma</t>
  </si>
  <si>
    <t>KIte Pharma</t>
  </si>
  <si>
    <t>Körber Pharma Software</t>
  </si>
  <si>
    <t>KyooBe Tech</t>
  </si>
  <si>
    <t>Kyverna Therapeutics</t>
  </si>
  <si>
    <t>Labcorp Drug Development</t>
  </si>
  <si>
    <t>Linden Capital Partners</t>
  </si>
  <si>
    <t>Lindville Bio</t>
  </si>
  <si>
    <t>LIS BioConsulting</t>
  </si>
  <si>
    <t>Longeveron</t>
  </si>
  <si>
    <t>Lonza Biologics</t>
  </si>
  <si>
    <t>Luminary Therapeutics</t>
  </si>
  <si>
    <t>Lykan Bioscience</t>
  </si>
  <si>
    <t>MAK-SYSTEM</t>
  </si>
  <si>
    <t>MasterControl</t>
  </si>
  <si>
    <t>Matricelf</t>
  </si>
  <si>
    <t>Matrixome</t>
  </si>
  <si>
    <t>Mayo Clinic</t>
  </si>
  <si>
    <t>McKesson Corporation</t>
  </si>
  <si>
    <t>McMaster Innovation Park</t>
  </si>
  <si>
    <t>Medical College of Wisconsin</t>
  </si>
  <si>
    <t>MEDIPOST</t>
  </si>
  <si>
    <t xml:space="preserve">Medix </t>
  </si>
  <si>
    <t>MicrofluidX</t>
  </si>
  <si>
    <t>MilliporeSigma</t>
  </si>
  <si>
    <t>Miltenyi Biotec</t>
  </si>
  <si>
    <t>Minaris Regenerative Medicine GmbH</t>
  </si>
  <si>
    <t>Minaris Regenerative Medicine USA</t>
  </si>
  <si>
    <t>Mirus Bio</t>
  </si>
  <si>
    <t>Moffitt Cancer Center</t>
  </si>
  <si>
    <t>MsaterControl</t>
  </si>
  <si>
    <t>Muscular Dystrophy Association</t>
  </si>
  <si>
    <t>Music Beats Cancer</t>
  </si>
  <si>
    <t>MVE Biological Solutions</t>
  </si>
  <si>
    <t>Nanite</t>
  </si>
  <si>
    <t>National Center for Therapeutics Manufacturing</t>
  </si>
  <si>
    <t>National Institute for Innovation in Manufacturing Biopharmaceuticals (NIIMBL)</t>
  </si>
  <si>
    <t>NecstGen</t>
  </si>
  <si>
    <t>NMDP Be The Match</t>
  </si>
  <si>
    <t>Nordmark Biochemicals</t>
  </si>
  <si>
    <t>Northislet</t>
  </si>
  <si>
    <t>NorthX Biologics</t>
  </si>
  <si>
    <t>Novartis Gene Therapies</t>
  </si>
  <si>
    <t>Novo Nordisk</t>
  </si>
  <si>
    <t>Oklahoma Department of Commerce</t>
  </si>
  <si>
    <t>OmniaBio</t>
  </si>
  <si>
    <t>Optima Pharma</t>
  </si>
  <si>
    <t>ORFLO Technologies</t>
  </si>
  <si>
    <t>OriGen Biomedical</t>
  </si>
  <si>
    <t>Oxford Biomedica</t>
  </si>
  <si>
    <t>Pall Corporation</t>
  </si>
  <si>
    <t>Peli BioThermal</t>
  </si>
  <si>
    <t xml:space="preserve">Peli BioThermal </t>
  </si>
  <si>
    <t>PendoTECH</t>
  </si>
  <si>
    <t>Pluri</t>
  </si>
  <si>
    <t>Polyplus</t>
  </si>
  <si>
    <t>Prescient Therapeutics</t>
  </si>
  <si>
    <t>Ray Therapeutics</t>
  </si>
  <si>
    <t>Reef Group</t>
  </si>
  <si>
    <t>Relief Therapeutics</t>
  </si>
  <si>
    <t>Repligen</t>
  </si>
  <si>
    <t>Resilience</t>
  </si>
  <si>
    <t>Riverbridge</t>
  </si>
  <si>
    <t>RoslinCT</t>
  </si>
  <si>
    <t>Royal Prince Alfred Hospital</t>
  </si>
  <si>
    <t>RSK Life Science Media</t>
  </si>
  <si>
    <t>Salesforce</t>
  </si>
  <si>
    <t>Satellite Bio</t>
  </si>
  <si>
    <t>Savillex</t>
  </si>
  <si>
    <t>ScaleReady</t>
  </si>
  <si>
    <t>SelectScience</t>
  </si>
  <si>
    <t xml:space="preserve">SelectScience </t>
  </si>
  <si>
    <t>SG Branding for Viralgen</t>
  </si>
  <si>
    <t>SGS</t>
  </si>
  <si>
    <t xml:space="preserve">SGS </t>
  </si>
  <si>
    <t>Sickle Cell Reproductive Health Education Directive</t>
  </si>
  <si>
    <t>Signet Healthcare Partners</t>
  </si>
  <si>
    <t>Sixth Street</t>
  </si>
  <si>
    <t>Smart Immune</t>
  </si>
  <si>
    <t>SNBTS</t>
  </si>
  <si>
    <t>Sony Corporation</t>
  </si>
  <si>
    <t>SONY Corporation</t>
  </si>
  <si>
    <t>Spark Therapeutics</t>
  </si>
  <si>
    <t>STEMCELL Technologies</t>
  </si>
  <si>
    <t>Vendor</t>
  </si>
  <si>
    <t xml:space="preserve">Academic/Hospitals </t>
  </si>
  <si>
    <t>Biotechnology</t>
  </si>
  <si>
    <t>Associations</t>
  </si>
  <si>
    <t>Investor</t>
  </si>
  <si>
    <t>Media businesses</t>
  </si>
  <si>
    <t>Charities</t>
  </si>
  <si>
    <t>Pharmaceutical</t>
  </si>
  <si>
    <t>Regulator/Payers</t>
  </si>
  <si>
    <t>Standards Bodies</t>
  </si>
  <si>
    <t>Patient Advocacy</t>
  </si>
  <si>
    <t>Job Title</t>
  </si>
  <si>
    <t>Company</t>
  </si>
  <si>
    <t xml:space="preserve">Investor </t>
  </si>
  <si>
    <t>REBEL Field Application Scientist</t>
  </si>
  <si>
    <t>ZipChip Field Sales Representative Sales, Life Sciences</t>
  </si>
  <si>
    <t>VP of Product Management and Marketing</t>
  </si>
  <si>
    <t xml:space="preserve">Senior Scientist </t>
  </si>
  <si>
    <t>VP Bioanalytics R&amp;D</t>
  </si>
  <si>
    <t>VP Manufacturing</t>
  </si>
  <si>
    <t>VP Sales &amp; Marketing</t>
  </si>
  <si>
    <t xml:space="preserve">VP President development </t>
  </si>
  <si>
    <t xml:space="preserve">VP  Business Development &amp; Legal Affairs </t>
  </si>
  <si>
    <t>Managing Partner</t>
  </si>
  <si>
    <t>VP of Product Development and Planning</t>
  </si>
  <si>
    <t>VP of Sales</t>
  </si>
  <si>
    <t>Senior Vice President, Technical Operations</t>
  </si>
  <si>
    <t>Head of Process Development</t>
  </si>
  <si>
    <t>Senior Director of Sales and Strategic Partnerships</t>
  </si>
  <si>
    <t>Head of Analytical Development</t>
  </si>
  <si>
    <t>Senior Solution Engineer</t>
  </si>
  <si>
    <t>Founder</t>
  </si>
  <si>
    <t>Senior Vice President, Research and Development</t>
  </si>
  <si>
    <t xml:space="preserve">Senior Process Engineer </t>
  </si>
  <si>
    <t>Associate</t>
  </si>
  <si>
    <t>Strategic Technical Specialist</t>
  </si>
  <si>
    <t>Senior Director Automated Storage Sales</t>
  </si>
  <si>
    <t>Tradeshow &amp; Event Specialist</t>
  </si>
  <si>
    <t xml:space="preserve">Systems Engineer </t>
  </si>
  <si>
    <t>R&amp;D</t>
  </si>
  <si>
    <t>Senior Vice President, Sales and Business Development</t>
  </si>
  <si>
    <t>VP of Customer Experience</t>
  </si>
  <si>
    <t xml:space="preserve">Senior Corporate Account Executive </t>
  </si>
  <si>
    <t>VP of Comercialization</t>
  </si>
  <si>
    <t>Senior Director of Business Development</t>
  </si>
  <si>
    <t>Principal Consultant</t>
  </si>
  <si>
    <t xml:space="preserve">Study Coordinator </t>
  </si>
  <si>
    <t>Procurement</t>
  </si>
  <si>
    <t>Director</t>
  </si>
  <si>
    <t>professor</t>
  </si>
  <si>
    <t>Student</t>
  </si>
  <si>
    <t>Strategic Sourcing &amp; Procurement</t>
  </si>
  <si>
    <t>Senior Principal Scientist</t>
  </si>
  <si>
    <t>Strategic Sourcing</t>
  </si>
  <si>
    <t>Shareholder</t>
  </si>
  <si>
    <t>VP Business Development</t>
  </si>
  <si>
    <t>Research Analyst</t>
  </si>
  <si>
    <t>Account Executive</t>
  </si>
  <si>
    <t>Research Fellow</t>
  </si>
  <si>
    <t>VP Communications and Marketing</t>
  </si>
  <si>
    <t>Consultant</t>
  </si>
  <si>
    <t>Head of Clinical Development</t>
  </si>
  <si>
    <t>consultant</t>
  </si>
  <si>
    <t>Senior Director Viral Vector Process Development</t>
  </si>
  <si>
    <t>VP of Marketing</t>
  </si>
  <si>
    <t>FDI &amp; Trade Associate</t>
  </si>
  <si>
    <t>Senior Director Gene Therapy Sales</t>
  </si>
  <si>
    <t xml:space="preserve">Senior Vice President </t>
  </si>
  <si>
    <t>Senior Scientific Advisor</t>
  </si>
  <si>
    <t>Senior Business Development Manager</t>
  </si>
  <si>
    <t>Field Application Scientist</t>
  </si>
  <si>
    <t xml:space="preserve">Head of Strategic Sourcing </t>
  </si>
  <si>
    <t>Executive Administrator</t>
  </si>
  <si>
    <t>VP of Engg</t>
  </si>
  <si>
    <t>Principal</t>
  </si>
  <si>
    <t>Senior Practice Expert</t>
  </si>
  <si>
    <t>Senior Principal</t>
  </si>
  <si>
    <t>Practice Expert</t>
  </si>
  <si>
    <t>Senior Partner</t>
  </si>
  <si>
    <t>Specialist Leader</t>
  </si>
  <si>
    <t>Senior Director Business Development and Marketing</t>
  </si>
  <si>
    <t>VP Business Operations</t>
  </si>
  <si>
    <t>VP Research &amp; Development</t>
  </si>
  <si>
    <t>VP Business &amp; Marketing</t>
  </si>
  <si>
    <t>Professor</t>
  </si>
  <si>
    <t>Manager</t>
  </si>
  <si>
    <t>Senior Vice President</t>
  </si>
  <si>
    <t>Strategic Planning Administrator</t>
  </si>
  <si>
    <t>Head of Department GMP Cell and Gene Therapy</t>
  </si>
  <si>
    <t>Head of GMP Cell and Gene Therapy</t>
  </si>
  <si>
    <t>Senior Director</t>
  </si>
  <si>
    <t>Vice President</t>
  </si>
  <si>
    <t>Marketing Coordinator</t>
  </si>
  <si>
    <t>Associate Scientist</t>
  </si>
  <si>
    <t>Maniufacturing &amp; Supply Chain Consultant</t>
  </si>
  <si>
    <t>Principal Investigator</t>
  </si>
  <si>
    <t>Partner</t>
  </si>
  <si>
    <t xml:space="preserve">VP PD CT VV </t>
  </si>
  <si>
    <t>Senior Event Specialist</t>
  </si>
  <si>
    <t>Process Engineer</t>
  </si>
  <si>
    <t>Head of Business Development</t>
  </si>
  <si>
    <t>VP</t>
  </si>
  <si>
    <t>Senior Solutions Consultant</t>
  </si>
  <si>
    <t>Senior Vice President, Strategic Collaborations &amp; Scientific Affairs</t>
  </si>
  <si>
    <t xml:space="preserve">Field Application Scientist </t>
  </si>
  <si>
    <t>Regional Account Executive</t>
  </si>
  <si>
    <t xml:space="preserve">Regional Account Executive </t>
  </si>
  <si>
    <t>VP operations</t>
  </si>
  <si>
    <t>Principal Research Technologist</t>
  </si>
  <si>
    <t>Senior Microfluidic Engineer</t>
  </si>
  <si>
    <t>Senior Bioprocessing Scientist</t>
  </si>
  <si>
    <t>Head of Field Marketing</t>
  </si>
  <si>
    <t>Global Head of Sales and Marketing</t>
  </si>
  <si>
    <t xml:space="preserve">Head Business Development </t>
  </si>
  <si>
    <t>VP Sales</t>
  </si>
  <si>
    <t>Co-founder</t>
  </si>
  <si>
    <t>Business Developer</t>
  </si>
  <si>
    <t>Head of Nordmark Biochemicals</t>
  </si>
  <si>
    <t>Representative</t>
  </si>
  <si>
    <t>Board Member</t>
  </si>
  <si>
    <t>Biotech Specialist</t>
  </si>
  <si>
    <t xml:space="preserve">Biotech Specialist </t>
  </si>
  <si>
    <t>Marketing Communications Specialist</t>
  </si>
  <si>
    <t>Head of Sales</t>
  </si>
  <si>
    <t>VP Sales and Marketing</t>
  </si>
  <si>
    <t>Applications Specialist</t>
  </si>
  <si>
    <t>Marketing Specialist</t>
  </si>
  <si>
    <t>Technical Head, Gene Therapy</t>
  </si>
  <si>
    <t>PM/Research</t>
  </si>
  <si>
    <t>Head of Department</t>
  </si>
  <si>
    <t>Senior Marketing Coordinator</t>
  </si>
  <si>
    <t>The Executive</t>
  </si>
  <si>
    <t xml:space="preserve">Technical Sales Executive </t>
  </si>
  <si>
    <t>Business development</t>
  </si>
  <si>
    <t>Corporate Communications</t>
  </si>
  <si>
    <t>VP of Manufacturing</t>
  </si>
  <si>
    <t>Sydney Local Health District</t>
  </si>
  <si>
    <t>Syneos Health</t>
  </si>
  <si>
    <t>TAAV</t>
  </si>
  <si>
    <t>Takeda / BioLife Cellular Therapies</t>
  </si>
  <si>
    <t>Takeda Pharmaceuticals</t>
  </si>
  <si>
    <t>Talaris Therapeutics</t>
  </si>
  <si>
    <t xml:space="preserve">Head of Research </t>
  </si>
  <si>
    <t>Taysha Gene Therapies</t>
  </si>
  <si>
    <t>Quality Manager</t>
  </si>
  <si>
    <t>TCR2 Therapeutics</t>
  </si>
  <si>
    <t xml:space="preserve">Logistics Coordinator </t>
  </si>
  <si>
    <t xml:space="preserve">TCR2 Therapeutics </t>
  </si>
  <si>
    <t>Technoflex</t>
  </si>
  <si>
    <t>Telegraph Hill Partners</t>
  </si>
  <si>
    <t>Tenaya Therapeutics</t>
  </si>
  <si>
    <t xml:space="preserve">CTT Global Technology Leader </t>
  </si>
  <si>
    <t>Terumo Blood and Cell Technologies</t>
  </si>
  <si>
    <t>Tessera Therapeutics</t>
  </si>
  <si>
    <t>Tevogen Bio</t>
  </si>
  <si>
    <t>The Chamber of Commerce for Greater Philadelphia</t>
  </si>
  <si>
    <t>The Leukemia &amp; Lymphoma society</t>
  </si>
  <si>
    <t>The National Marrow Donor Program/Be The Match</t>
  </si>
  <si>
    <t>The University of British Columbia</t>
  </si>
  <si>
    <t>Thermo Fisher Scientific</t>
  </si>
  <si>
    <t xml:space="preserve">Global Market Development Specialist </t>
  </si>
  <si>
    <t>Senior Staff Scientist, Research and Development</t>
  </si>
  <si>
    <t>Product Manger</t>
  </si>
  <si>
    <t>Global Subject Matter Expert</t>
  </si>
  <si>
    <t>THL Partners</t>
  </si>
  <si>
    <t>Thomas H. Lee Partners</t>
  </si>
  <si>
    <t>Thompson Street Capital Partners</t>
  </si>
  <si>
    <t>Tmunity</t>
  </si>
  <si>
    <t>Technical Operations</t>
  </si>
  <si>
    <t>Tome Biosciences</t>
  </si>
  <si>
    <t>Touchlight</t>
  </si>
  <si>
    <t>Touchlight DNA Services</t>
  </si>
  <si>
    <t>VP Product</t>
  </si>
  <si>
    <t>TrakCel</t>
  </si>
  <si>
    <t>Senior Director of Customer Experience &amp; Engagement</t>
  </si>
  <si>
    <t>VP Scientific Affairs &amp; Product Development</t>
  </si>
  <si>
    <t>TreeFrog Therapeutics</t>
  </si>
  <si>
    <t>Senior Vice President, Business Development</t>
  </si>
  <si>
    <t>TTP plc</t>
  </si>
  <si>
    <t>Tufts Medical Center</t>
  </si>
  <si>
    <t>Turnstone Biologics</t>
  </si>
  <si>
    <t>uBriGene Biosciences</t>
  </si>
  <si>
    <t>UBS</t>
  </si>
  <si>
    <t>Assistant Professor</t>
  </si>
  <si>
    <t>UCSF</t>
  </si>
  <si>
    <t>Umoja Biopharma</t>
  </si>
  <si>
    <t>University of Birmingham</t>
  </si>
  <si>
    <t>University of los Andes</t>
  </si>
  <si>
    <t>University of Sheffield</t>
  </si>
  <si>
    <t>US Food and Drug Administration</t>
  </si>
  <si>
    <t>UT Southwestern Medical Center</t>
  </si>
  <si>
    <t>ValueQonnect</t>
  </si>
  <si>
    <t>Versiti</t>
  </si>
  <si>
    <t xml:space="preserve">Process Development Engineering Principal Scientific Associate </t>
  </si>
  <si>
    <t xml:space="preserve">Vertex Pharmaceutical </t>
  </si>
  <si>
    <t>Principal research associate</t>
  </si>
  <si>
    <t>Vertex Pharmaceuticals, Inc</t>
  </si>
  <si>
    <t>Manufacturing Document Specialist</t>
  </si>
  <si>
    <t>Viralgen Vector Core</t>
  </si>
  <si>
    <t>Qualified Person</t>
  </si>
  <si>
    <t>Global Head, Digitization</t>
  </si>
  <si>
    <t>Regulatory Affairs</t>
  </si>
  <si>
    <t>Head Down Stream Process Development</t>
  </si>
  <si>
    <t>Vita Therapeutics</t>
  </si>
  <si>
    <t>Vitalant</t>
  </si>
  <si>
    <t>VIVEbiotech</t>
  </si>
  <si>
    <t>Warburg Pincus</t>
  </si>
  <si>
    <t>Watson-Marlow</t>
  </si>
  <si>
    <t>Senior Director of Solution Architecture for Biotherapies</t>
  </si>
  <si>
    <t xml:space="preserve">WellSky </t>
  </si>
  <si>
    <t>Sales</t>
  </si>
  <si>
    <t>WP</t>
  </si>
  <si>
    <t>Wugen</t>
  </si>
  <si>
    <t>Wunderlich-Malec Engineering</t>
  </si>
  <si>
    <t>Xiogenix</t>
  </si>
  <si>
    <t>X-Therma</t>
  </si>
  <si>
    <t>Yposkesi</t>
  </si>
  <si>
    <t>Wilco Precision Testers USA</t>
  </si>
  <si>
    <t>VGXI</t>
  </si>
  <si>
    <t>USA</t>
  </si>
  <si>
    <t>Germany</t>
  </si>
  <si>
    <t>Italy</t>
  </si>
  <si>
    <t>Sweden</t>
  </si>
  <si>
    <t>Canada</t>
  </si>
  <si>
    <t>Switzerland</t>
  </si>
  <si>
    <t>Belgium</t>
  </si>
  <si>
    <t>Ireland</t>
  </si>
  <si>
    <t>France</t>
  </si>
  <si>
    <t>Spain</t>
  </si>
  <si>
    <t>India</t>
  </si>
  <si>
    <t>Denmark</t>
  </si>
  <si>
    <t>Norway</t>
  </si>
  <si>
    <t>United Kingdom</t>
  </si>
  <si>
    <t>Portugal</t>
  </si>
  <si>
    <t>Created date</t>
  </si>
  <si>
    <t>Google Ads</t>
  </si>
  <si>
    <t>LinkedIn</t>
  </si>
  <si>
    <t>Twitter</t>
  </si>
  <si>
    <t>Past Event</t>
  </si>
  <si>
    <t>Referral</t>
  </si>
  <si>
    <t>Organic search</t>
  </si>
  <si>
    <t>Digital campaign</t>
  </si>
  <si>
    <t>LinkedIn Ad</t>
  </si>
  <si>
    <t>It's time to cast a light on where early stage biotechs go wrong...</t>
  </si>
  <si>
    <t>Discover how to bring your product from the bench to patients worldwide in our next webinar</t>
  </si>
  <si>
    <t>Discover how to avoid the common mistakes therapy developers make when manufacturing cell and gene therapies</t>
  </si>
  <si>
    <t>Tales From the Cell and Gene Trenches: lessons from industry leaders on how to ensure quality, improve patient access, and reduce the cost of manufacturing.</t>
  </si>
  <si>
    <t>Join the open discussion with nanoplasmid inventor Jim Williams</t>
  </si>
  <si>
    <t>📢 Less than 2 weeks to go! Discover the unique opportunities associated with using nanoplasmids over traditional plasmids</t>
  </si>
  <si>
    <t>Big Things Come in Small Packages - Don't Miss Out 🧬</t>
  </si>
  <si>
    <t>📣Final call! Join us to discuss, Enhancing Allogeneic Donor Recruitment: How Do We Find the Right Donors?</t>
  </si>
  <si>
    <t>Hey {{Recipient.FirstName}}, have you seen this weeks webinar panel? you still have time to register your place!</t>
  </si>
  <si>
    <t>📣 It's not too late {{Recipient.FirstName}} to join this months webinar; 'Scaling Clinical Cell and Gene Therapies'</t>
  </si>
  <si>
    <t>Hey {{Recipient.FirstName}}, have you saved the date yet? StemExpress is taking over the stage in our next webinar!🧬 Don't miss out 😀</t>
  </si>
  <si>
    <t>Hey {{Recipient.FirstName}}, it's the final call for todays exciting webinar! 🧬 Don't miss out 😀</t>
  </si>
  <si>
    <t>Don't miss out on this weeks webinar! Is managing your manufacturing and qualify operations complex or troublesome?</t>
  </si>
  <si>
    <t>Hey! Join the discussion - Is managing your manufacturing and qualify operations complex or troublesome?</t>
  </si>
  <si>
    <t>Reducing Manufacturing Bottlenecks</t>
  </si>
  <si>
    <t>Are you ready to build a CAR-T cell therapy?</t>
  </si>
  <si>
    <t>What an amazing webinar that was...</t>
  </si>
  <si>
    <t>Has your brand been reaching it's perfect audience?</t>
  </si>
  <si>
    <t>Have you found a feature month that suits you? 🧬📖</t>
  </si>
  <si>
    <t>Sharing a little success story 🧬📖</t>
  </si>
  <si>
    <t>Does your audience see your brand? Find out how Phacilitate can you reach the right audience!</t>
  </si>
  <si>
    <t>Will you be joining us to celebrate your peers?</t>
  </si>
  <si>
    <t>Will you be celebrating with us?</t>
  </si>
  <si>
    <t>Will you be joining us?</t>
  </si>
  <si>
    <t>Meet your host</t>
  </si>
  <si>
    <t>Have you seen this {{Recipient.FirstName}}</t>
  </si>
  <si>
    <t>Quick question about the Patient Advocate Award</t>
  </si>
  <si>
    <t>Know of a young scientist?</t>
  </si>
  <si>
    <t>Will you be entering?</t>
  </si>
  <si>
    <t>Which category will you win?</t>
  </si>
  <si>
    <t>Meet the judges</t>
  </si>
  <si>
    <t>Entries now open</t>
  </si>
  <si>
    <t>Wishing you an amazing seasonal holiday - This is our last cell and gene newsletter for the year!</t>
  </si>
  <si>
    <t>🚨 FDA has approved the most expensive gene therapy to date!</t>
  </si>
  <si>
    <t>FDA Releases Guidelines for Multiple Version Cell and Gene Therapy Early-Phase Trials</t>
  </si>
  <si>
    <t>Let's celebrate 10 years of CAR-T</t>
  </si>
  <si>
    <t>Have you seen the latest FDA annoucement?</t>
  </si>
  <si>
    <t>Small but mighty: Don't miss today's webinar discussion on the power of plasmids</t>
  </si>
  <si>
    <t>What's been happening in the world of advanced therapies?</t>
  </si>
  <si>
    <t>It's good news for biotechs</t>
  </si>
  <si>
    <t>Europe’s largest bioscience hub continues to grow - Discover the latest advanced therapies news here!</t>
  </si>
  <si>
    <t>Gene Therapy and the Big Vector Debate: Viral Vs Non-Viral</t>
  </si>
  <si>
    <t>Hey {{Recipient.FirstName}}, have you seen Avista Therapeutics' big annoucement?</t>
  </si>
  <si>
    <t>AstraZeneca and Fujifilm make big plays this week - catch up on the latest, here!</t>
  </si>
  <si>
    <t>LAST CHANCE: Overcoming manufacturing challenges for gene-enabled therapies</t>
  </si>
  <si>
    <t>Here is what you missed</t>
  </si>
  <si>
    <t>Looking back</t>
  </si>
  <si>
    <t>Simply THANK YOU!</t>
  </si>
  <si>
    <t>The final countdown has begun! ⏰</t>
  </si>
  <si>
    <t>What does Sustainability look like for the CGT industry?</t>
  </si>
  <si>
    <t>Fancy a free yacht party ticket?</t>
  </si>
  <si>
    <t>We would love to hear your thoughts</t>
  </si>
  <si>
    <t>This may be of interest {{Recipient.FirstName}}</t>
  </si>
  <si>
    <t>Why So Shy? – Implementing Disruptive Technologies with Confidence in Cell Therapy</t>
  </si>
  <si>
    <t>{{Recipient.FirstName}}, we need your help!</t>
  </si>
  <si>
    <t>{{Recipient.FirstName}}, check out the Women in Advanced Therapies 2021 eBook!</t>
  </si>
  <si>
    <t>Help lead the next generation in advanced therapies</t>
  </si>
  <si>
    <t>We've launched a new Specialist Group!</t>
  </si>
  <si>
    <t>There's no need to miss out!</t>
  </si>
  <si>
    <t>The only place to be next month</t>
  </si>
  <si>
    <t>Learn something new this January</t>
  </si>
  <si>
    <t>Something to add to your to-do list ✔️</t>
  </si>
  <si>
    <t>Upgrade your knowledge</t>
  </si>
  <si>
    <t>One word... Biotech</t>
  </si>
  <si>
    <t>Please complete your booking</t>
  </si>
  <si>
    <t>Are you planning on joining us {{Recipient.FirstName}}?</t>
  </si>
  <si>
    <t>Download the sample attendee list</t>
  </si>
  <si>
    <t>Your last chance to grab a discount</t>
  </si>
  <si>
    <t>Use it before it's gone</t>
  </si>
  <si>
    <t>Early Bird sale ends Friday!</t>
  </si>
  <si>
    <t>Prices increase on Friday!</t>
  </si>
  <si>
    <t>Everyone makes mistakes</t>
  </si>
  <si>
    <t>Quick question</t>
  </si>
  <si>
    <t>In case you missed it... we've got a Thanksgiving treat waiting for you.</t>
  </si>
  <si>
    <t>The agenda is live</t>
  </si>
  <si>
    <t>What would you do with an extra $300?</t>
  </si>
  <si>
    <t>You can’t blame us for showing this off</t>
  </si>
  <si>
    <t>Hot off the press</t>
  </si>
  <si>
    <t>Do you want to learn from these experts {{Recipient.FirstName}}?</t>
  </si>
  <si>
    <t>You'll want to take a look at this</t>
  </si>
  <si>
    <t>The speaker list has landed</t>
  </si>
  <si>
    <t>It's finally here...</t>
  </si>
  <si>
    <t>It's finally here: registration is now open!</t>
  </si>
  <si>
    <t>Last call for exhibition booths - 11 remaining</t>
  </si>
  <si>
    <t>Imagine a world where you have too many leads, and not enough staff</t>
  </si>
  <si>
    <t>Have you seen this?</t>
  </si>
  <si>
    <t>The agenda has been released</t>
  </si>
  <si>
    <t>Can you share your expertise {{Recipient.FirstName}}?</t>
  </si>
  <si>
    <t>[INSIDE] A proven method of increasing brand awareness</t>
  </si>
  <si>
    <t>Update to our partnering app's privacy policy</t>
  </si>
  <si>
    <t>Doors open TOMORROW, {{Recipient.FirstName}}!</t>
  </si>
  <si>
    <t>Thank you for attending Advanced Therapies Europe</t>
  </si>
  <si>
    <t>Please submit by tomorrow {{Recipient.FirstName}}</t>
  </si>
  <si>
    <t>Here's a taster of what's to come...</t>
  </si>
  <si>
    <t>Did this pass you by?</t>
  </si>
  <si>
    <t>Time is running out!</t>
  </si>
  <si>
    <t>The last minute details - Advanced Therapies Europe</t>
  </si>
  <si>
    <t>The key ingredient to avoiding FOMO</t>
  </si>
  <si>
    <t>Important Information - Advanced Therapies Europe</t>
  </si>
  <si>
    <t>A sneaky preview 😆</t>
  </si>
  <si>
    <t>Will you be joining us for a drink {{Recipient.FirstName}}?</t>
  </si>
  <si>
    <t>Drumroll please 🥁</t>
  </si>
  <si>
    <t>Facilitate the future</t>
  </si>
  <si>
    <t>Content on the agenda to look out for 👀</t>
  </si>
  <si>
    <t>What you're missing out on</t>
  </si>
  <si>
    <t>Are you joining us at the pub?</t>
  </si>
  <si>
    <t>Sample Attendee List Available</t>
  </si>
  <si>
    <t>This may be of interest, {{Recipient.FirstName}}</t>
  </si>
  <si>
    <t>2 minutes with... Edward Samuel</t>
  </si>
  <si>
    <t>PR Support for {{Recipient.Company}}</t>
  </si>
  <si>
    <t>Following up</t>
  </si>
  <si>
    <t>Please advise {{Recipient.FirstName}}</t>
  </si>
  <si>
    <t>Quick Question {{Recipient.FirstName}}</t>
  </si>
  <si>
    <t>Open me for 50% off your ticket</t>
  </si>
  <si>
    <t>2 minutes with... Rafiq Hasan</t>
  </si>
  <si>
    <t>Have a spare 2 minutes?</t>
  </si>
  <si>
    <t>Agenda now Live!</t>
  </si>
  <si>
    <t>Early Bird ENDS 17th June!</t>
  </si>
  <si>
    <t>Fancy catching that worm, {{Recipient.FirstName}}?</t>
  </si>
  <si>
    <t>AviadoBio’s Lisa Deschamps confirmed to speak</t>
  </si>
  <si>
    <t>Syncona Investment Management - Confirmed</t>
  </si>
  <si>
    <t>{{Recipient.FirstName}}, will you be joining us in London?</t>
  </si>
  <si>
    <t>{{Recipient.FirstName}}, do you have any questions?</t>
  </si>
  <si>
    <t>Following up from my email...</t>
  </si>
  <si>
    <t>You'll be pleased to hear...</t>
  </si>
  <si>
    <t>{{Recipient.FirstName}}, registration is now live for Advanced Therapies Europe!</t>
  </si>
  <si>
    <t>Reminder - You haven't logged onto the Partnering App for Advanced Therapies Europe</t>
  </si>
  <si>
    <t>Information about Pub &amp; Pints</t>
  </si>
  <si>
    <t>{{Recipient.FirstName}}, we would love to showcase your company at Advanced Therapies Europe</t>
  </si>
  <si>
    <t>Take a first look at our updated agenda</t>
  </si>
  <si>
    <t>{{Recipient.FirstName}}, have your company featured in the agenda</t>
  </si>
  <si>
    <t>{{Recipient.FirstName}}, I bet you didn't know this...</t>
  </si>
  <si>
    <t>Thank you for participating at Advanced Therapies Europe</t>
  </si>
  <si>
    <t>Make sure to join us for a drink, {{Recipient.FirstName}}</t>
  </si>
  <si>
    <t>Manufacturing capacity map - deadline Friday, 19th August</t>
  </si>
  <si>
    <t>Make your mark 'on the map'</t>
  </si>
  <si>
    <t>Which roundtables will you be attending?</t>
  </si>
  <si>
    <t>Your Partnering App at Advanced Therapies Europe</t>
  </si>
  <si>
    <t>This months hot topic🔥: how to overcome the toughest challenges in accessing different markets</t>
  </si>
  <si>
    <t>FDA Approves Novartis’ CAR-T Therapy, Kymriah, for the Treatment of Follicular Lymphoma</t>
  </si>
  <si>
    <t>What are the biggest challenges the cell and gene therapy industry face today?</t>
  </si>
  <si>
    <t>Celebrating ‘10 Years of CAR-T’</t>
  </si>
  <si>
    <t>An exciting announcement</t>
  </si>
  <si>
    <t>{{Recipient.FirstName}}, have you downloaded the sample attendee list for Advanced Therapies Europe yet?</t>
  </si>
  <si>
    <t>You have forgotten something {{Recipient.FirstName}}</t>
  </si>
  <si>
    <t>Heads up {{Recipient.FirstName}}</t>
  </si>
  <si>
    <t>Oops! You haven't completed your booking</t>
  </si>
  <si>
    <t>Did you forget something {{Recipient.FirstName}}?</t>
  </si>
  <si>
    <t>You have a credit voucher to use {{Recipient.FirstName}}</t>
  </si>
  <si>
    <t>Campaign Name</t>
  </si>
  <si>
    <t>Opt Outs</t>
  </si>
  <si>
    <t>Unique Clicks</t>
  </si>
  <si>
    <t>Total Clicks</t>
  </si>
  <si>
    <t>Unique Opens</t>
  </si>
  <si>
    <t>Total Opens</t>
  </si>
  <si>
    <t>Delivered</t>
  </si>
  <si>
    <t>Hard Bounces</t>
  </si>
  <si>
    <t>Soft Bounces</t>
  </si>
  <si>
    <t>Bounces</t>
  </si>
  <si>
    <t>Sent</t>
  </si>
  <si>
    <t>Sent On</t>
  </si>
  <si>
    <t>Conversions (visited product page)</t>
  </si>
  <si>
    <t>Job titles</t>
  </si>
  <si>
    <t>C-suite</t>
  </si>
  <si>
    <t>Heads of Manufacturing</t>
  </si>
  <si>
    <t>Head of labs</t>
  </si>
  <si>
    <t>Cell &amp; Gene Therapy job titles</t>
  </si>
  <si>
    <t>Directors</t>
  </si>
  <si>
    <t>Head of Strategy</t>
  </si>
  <si>
    <t>Vendors</t>
  </si>
  <si>
    <t>Account manager</t>
  </si>
  <si>
    <t>Scientist</t>
  </si>
  <si>
    <t>New year, new you, and the first Phacilitate Network email of 2024!</t>
  </si>
  <si>
    <t>JUST RELEASED: The Advanced Therapies Europe 2024 Agenda!</t>
  </si>
  <si>
    <t>Dates confirmed for Advanced Therapies Europe 2024</t>
  </si>
  <si>
    <t>How we'll be featuring CAR-T at Advanced Therapies Europe 2024</t>
  </si>
  <si>
    <t>IMPORTANT EXHIBITOR INFORMATION | Advanced Therapies Europe, 31st August – 1st September 2024, Royal Lancaster Hotel</t>
  </si>
  <si>
    <t>It's finally here! Phacilitate's Market Access Report 2024</t>
  </si>
  <si>
    <t>Join us in celebrating Europe’s ‘good news’ from 2024 in London</t>
  </si>
  <si>
    <t>Advanced Therapies Europe 2024 - One Week To Go</t>
  </si>
  <si>
    <t>Our 2024 Finalists</t>
  </si>
  <si>
    <t>Subject Line</t>
  </si>
  <si>
    <t>Operational Comms</t>
  </si>
  <si>
    <t>Advanced Therapies Europe - Updated COVID-19 Protocols</t>
  </si>
  <si>
    <t>We’re back with news, webinars and exclusive insights ahead of Advanced Therapies Europe 2024</t>
  </si>
  <si>
    <t>Important Information - Pre Event PCR Testing - Advanced Therapies Europe</t>
  </si>
  <si>
    <t>How to best use our app - Advanced Therapies Europe</t>
  </si>
  <si>
    <t>Important Information - Action Required - Advanced Therapies Europe</t>
  </si>
  <si>
    <t>Sunrise Yoga Session - Advanced Therapies Europe</t>
  </si>
  <si>
    <t>Will you be joining us at Advanced Therapies Europe?</t>
  </si>
  <si>
    <t>Advanced Therapies Europe 2024- FINAL EXHIBITOR EMAIL</t>
  </si>
  <si>
    <t>Advanced Therapies Europe | Press Pass Information</t>
  </si>
  <si>
    <t>{{Recipient.FirstName}}, make sure you can access the Members Lounge at Advanced Therapies Europe</t>
  </si>
  <si>
    <t>Information regarding the Fun Run - Advanced Therapies Europe</t>
  </si>
  <si>
    <t>Information regarding the Nikki Beach Networking Dinner - Advanced Therapies Europe</t>
  </si>
  <si>
    <t>Phacilitate Match Lunch - Advanced Therapies Europe</t>
  </si>
  <si>
    <t>Advanced Therapies Europe - Presentations</t>
  </si>
  <si>
    <t>Watch the Superplenary Session from Advanced Therapies Europe 2024 via the Network</t>
  </si>
  <si>
    <t>Exclusive Behind-the-Scenes Content from Advanced Therapies Europe Published</t>
  </si>
  <si>
    <t>Discover a new potential partnership at Advanced Therapies Europe 2024</t>
  </si>
  <si>
    <t>Your brands Advanced Therapies Europe journey start now 🧬📖</t>
  </si>
  <si>
    <t>{{Recipient.FirstName}} it’s time for you to secure your FREE place at Advanced Therapies Europe!</t>
  </si>
  <si>
    <t>Complimentary access to Advanced Therapies Europe</t>
  </si>
  <si>
    <t>Advanced Therapies Europe 2024 | Merry Christmas</t>
  </si>
  <si>
    <t xml:space="preserve">WELCOME EXHIBITOR | Advanced Therapies Europe, January 17th – 20th 2024, </t>
  </si>
  <si>
    <t xml:space="preserve">ACCOMMODATION | Advanced Therapies Europe, January 17th – 20th 2024, </t>
  </si>
  <si>
    <t xml:space="preserve">PIPE &amp; DRAPE EXHIBITORS | Advanced Therapies Europe, January 17th – 20th 2024, </t>
  </si>
  <si>
    <t xml:space="preserve">RAW SPACE EXHIBITOR | Advanced Therapies Europe, January 17th – 20th 2024, </t>
  </si>
  <si>
    <t xml:space="preserve">EXHIBITOR | Advanced Therapies Europe, January 17th – 20th 2024, </t>
  </si>
  <si>
    <t>Enjoy the Barcelona views in style</t>
  </si>
  <si>
    <t>Bring a colleague or friend to Barcelona</t>
  </si>
  <si>
    <t xml:space="preserve">Labworks International </t>
  </si>
  <si>
    <t>ICCBBA</t>
  </si>
  <si>
    <t>Hybrid Concepts International</t>
  </si>
  <si>
    <t>Knowledge Palette</t>
  </si>
  <si>
    <t>Excellos</t>
  </si>
  <si>
    <t>NegotiumBio</t>
  </si>
  <si>
    <t xml:space="preserve">SGVector Pte </t>
  </si>
  <si>
    <t xml:space="preserve">SNOW Chemicals </t>
  </si>
  <si>
    <t xml:space="preserve">SOLVE FSHD Holdings </t>
  </si>
  <si>
    <t xml:space="preserve">Symbiosis Pharmaceutical Services </t>
  </si>
  <si>
    <t>Texcell-North America</t>
  </si>
  <si>
    <t>IPS-Integrated Project Services</t>
  </si>
  <si>
    <t xml:space="preserve">Blood Assurance </t>
  </si>
  <si>
    <t>Nitta Gelatin NA</t>
  </si>
  <si>
    <t xml:space="preserve">Cellsbin </t>
  </si>
  <si>
    <t xml:space="preserve">Argon Medical Devices </t>
  </si>
  <si>
    <t>FreMon Scientific</t>
  </si>
  <si>
    <t xml:space="preserve">Avobis Bio </t>
  </si>
  <si>
    <t xml:space="preserve">Avego Management </t>
  </si>
  <si>
    <t xml:space="preserve">Kite Pharma </t>
  </si>
  <si>
    <t xml:space="preserve">Bionique Testing Laboratories </t>
  </si>
  <si>
    <t xml:space="preserve">Wilco Precision Testers USA </t>
  </si>
  <si>
    <t>Atara Biotherapeutics</t>
  </si>
  <si>
    <t xml:space="preserve">BioLife Solutions </t>
  </si>
  <si>
    <t>Genesis BPS</t>
  </si>
  <si>
    <t xml:space="preserve">VisiCELL Medical </t>
  </si>
  <si>
    <t>Corning orporated</t>
  </si>
  <si>
    <t>L7 Informatics</t>
  </si>
  <si>
    <t xml:space="preserve">Ignyte Bio </t>
  </si>
  <si>
    <t>Autolomous</t>
  </si>
  <si>
    <t>BriGene Biosciences</t>
  </si>
  <si>
    <t>STEMELL Technologies</t>
  </si>
  <si>
    <t>OkuloVision</t>
  </si>
  <si>
    <t>Sony Biotechnology</t>
  </si>
  <si>
    <t>SOTIO Biotech</t>
  </si>
  <si>
    <t>Steminent Biotherapeutics</t>
  </si>
  <si>
    <t>Glycostem Therapeutics B.V</t>
  </si>
  <si>
    <t>Alloplex Biotherapeutics</t>
  </si>
  <si>
    <t>Lupagen</t>
  </si>
  <si>
    <t>Lonza Walkersville</t>
  </si>
  <si>
    <t>Lexden Capital</t>
  </si>
  <si>
    <t>Shikoku Instrumentation</t>
  </si>
  <si>
    <t>Aseptic Technologies</t>
  </si>
  <si>
    <t>Center for Cellular Immunotherapies</t>
  </si>
  <si>
    <t>JURA Bio</t>
  </si>
  <si>
    <t>Orchard Therapeutics</t>
  </si>
  <si>
    <t>Pharmaceutical Technical Solutions</t>
  </si>
  <si>
    <t>PharmaLex US</t>
  </si>
  <si>
    <t>POMS</t>
  </si>
  <si>
    <t>ReiThera</t>
  </si>
  <si>
    <t>Sartorius CellGenix</t>
  </si>
  <si>
    <t>Sarcura</t>
  </si>
  <si>
    <t>Barkey</t>
  </si>
  <si>
    <t>Netherlands</t>
  </si>
  <si>
    <t>ID</t>
  </si>
  <si>
    <t>Open rate</t>
  </si>
  <si>
    <t>Click-to-open rate</t>
  </si>
  <si>
    <t>Email bounce rate</t>
  </si>
  <si>
    <t>Unsubscribe rate</t>
  </si>
  <si>
    <t>Conversion rate</t>
  </si>
  <si>
    <t>Delivery rate</t>
  </si>
  <si>
    <t>Scinus Cell Expansion</t>
  </si>
  <si>
    <t>SCT Cell Manufacturing</t>
  </si>
  <si>
    <t>Dark Horse Consulting</t>
  </si>
  <si>
    <t>Time sent</t>
  </si>
  <si>
    <t>15:00</t>
  </si>
  <si>
    <t>15:08</t>
  </si>
  <si>
    <t>11:59</t>
  </si>
  <si>
    <t>16:25</t>
  </si>
  <si>
    <t>15:15</t>
  </si>
  <si>
    <t>14:30</t>
  </si>
  <si>
    <t>16:00</t>
  </si>
  <si>
    <t>16:10</t>
  </si>
  <si>
    <t>16:30</t>
  </si>
  <si>
    <t>21:10</t>
  </si>
  <si>
    <t>09:38</t>
  </si>
  <si>
    <t>20:11</t>
  </si>
  <si>
    <t>18:00</t>
  </si>
  <si>
    <t>21:17</t>
  </si>
  <si>
    <t>19:00</t>
  </si>
  <si>
    <t>16:05</t>
  </si>
  <si>
    <t>21:00</t>
  </si>
  <si>
    <t>16:20</t>
  </si>
  <si>
    <t>15:18</t>
  </si>
  <si>
    <t>18:19</t>
  </si>
  <si>
    <t>18:30</t>
  </si>
  <si>
    <t>17:00</t>
  </si>
  <si>
    <t>15:25</t>
  </si>
  <si>
    <t>13:30</t>
  </si>
  <si>
    <t>15:31</t>
  </si>
  <si>
    <t>17:04</t>
  </si>
  <si>
    <t>14:00</t>
  </si>
  <si>
    <t>15:10</t>
  </si>
  <si>
    <t>13:00</t>
  </si>
  <si>
    <t>11:30</t>
  </si>
  <si>
    <t>14:51</t>
  </si>
  <si>
    <t>14:50</t>
  </si>
  <si>
    <t>12:30</t>
  </si>
  <si>
    <t>13:31</t>
  </si>
  <si>
    <t>12:18</t>
  </si>
  <si>
    <t>15:04</t>
  </si>
  <si>
    <t>15:32</t>
  </si>
  <si>
    <t>13:15</t>
  </si>
  <si>
    <t>11:45</t>
  </si>
  <si>
    <t>11:00</t>
  </si>
  <si>
    <t>13:29</t>
  </si>
  <si>
    <t>14:05</t>
  </si>
  <si>
    <t>16:31</t>
  </si>
  <si>
    <t>10:05</t>
  </si>
  <si>
    <t>12:05</t>
  </si>
  <si>
    <t>14:20</t>
  </si>
  <si>
    <t>07:50</t>
  </si>
  <si>
    <t>11:51</t>
  </si>
  <si>
    <t>18:43</t>
  </si>
  <si>
    <t>14:33</t>
  </si>
  <si>
    <t>15:23</t>
  </si>
  <si>
    <t>15:40</t>
  </si>
  <si>
    <t>13:25</t>
  </si>
  <si>
    <t>15:26</t>
  </si>
  <si>
    <t>19:33</t>
  </si>
  <si>
    <t>15:05</t>
  </si>
  <si>
    <t>07:40</t>
  </si>
  <si>
    <t>07:57</t>
  </si>
  <si>
    <t>07:59</t>
  </si>
  <si>
    <t>11:58</t>
  </si>
  <si>
    <t>07:30</t>
  </si>
  <si>
    <t>09:00</t>
  </si>
  <si>
    <t>11:26</t>
  </si>
  <si>
    <t>15:13</t>
  </si>
  <si>
    <t>11:16</t>
  </si>
  <si>
    <t>16:40</t>
  </si>
  <si>
    <t>07:15</t>
  </si>
  <si>
    <t>11:40</t>
  </si>
  <si>
    <t>14:41</t>
  </si>
  <si>
    <t>09:28</t>
  </si>
  <si>
    <t>17:25</t>
  </si>
  <si>
    <t>09:32</t>
  </si>
  <si>
    <t>14:32</t>
  </si>
  <si>
    <t>09:25</t>
  </si>
  <si>
    <t>15:17</t>
  </si>
  <si>
    <t>15:38</t>
  </si>
  <si>
    <t>08:00</t>
  </si>
  <si>
    <t>12:01</t>
  </si>
  <si>
    <t>15:19</t>
  </si>
  <si>
    <t>15:24</t>
  </si>
  <si>
    <t>08:15</t>
  </si>
  <si>
    <t>14:25</t>
  </si>
  <si>
    <t>08:30</t>
  </si>
  <si>
    <t>15:30</t>
  </si>
  <si>
    <t>18:05</t>
  </si>
  <si>
    <t>16:45</t>
  </si>
  <si>
    <t>17:06</t>
  </si>
  <si>
    <t>13:47</t>
  </si>
  <si>
    <t>09:03</t>
  </si>
  <si>
    <t>13:05</t>
  </si>
  <si>
    <t>15:09</t>
  </si>
  <si>
    <t>14:15</t>
  </si>
  <si>
    <t>08:35</t>
  </si>
  <si>
    <t>15:16</t>
  </si>
  <si>
    <t>15:12</t>
  </si>
  <si>
    <t>16:13</t>
  </si>
  <si>
    <t>18:01</t>
  </si>
  <si>
    <t>16:15</t>
  </si>
  <si>
    <t>17:45</t>
  </si>
  <si>
    <t>18:09</t>
  </si>
  <si>
    <t>17:50</t>
  </si>
  <si>
    <t>17:30</t>
  </si>
  <si>
    <t>16:32</t>
  </si>
  <si>
    <t>16:02</t>
  </si>
  <si>
    <t>16:36</t>
  </si>
  <si>
    <t>17:05</t>
  </si>
  <si>
    <t>18:25</t>
  </si>
  <si>
    <t>12:15</t>
  </si>
  <si>
    <t>12:23</t>
  </si>
  <si>
    <t>12:26</t>
  </si>
  <si>
    <t>15:46</t>
  </si>
  <si>
    <t>18:32</t>
  </si>
  <si>
    <t>17:37</t>
  </si>
  <si>
    <t>17:08</t>
  </si>
  <si>
    <t>16:50</t>
  </si>
  <si>
    <t>17:15</t>
  </si>
  <si>
    <t>16:53</t>
  </si>
  <si>
    <t>18:29</t>
  </si>
  <si>
    <t>04:45</t>
  </si>
  <si>
    <t>16:07</t>
  </si>
  <si>
    <t>17:01</t>
  </si>
  <si>
    <t>17:03</t>
  </si>
  <si>
    <t>Senior Strategic Business Development Mgr</t>
  </si>
  <si>
    <t>Senior Mgr Commercial Enablement</t>
  </si>
  <si>
    <t>Senior Director Business Development</t>
  </si>
  <si>
    <t>Senior Director Sales &amp; Business Development</t>
  </si>
  <si>
    <t>Senior. Assoc.</t>
  </si>
  <si>
    <t>Senior Sales</t>
  </si>
  <si>
    <t>Application Scientist</t>
  </si>
  <si>
    <t>Business Senior Director</t>
  </si>
  <si>
    <t>CGT specialist</t>
  </si>
  <si>
    <t>Commercial Development</t>
  </si>
  <si>
    <t>Commercial Leader</t>
  </si>
  <si>
    <t>Patient Supply Operations</t>
  </si>
  <si>
    <t>Executive VP &amp; Chief Scientific Officer</t>
  </si>
  <si>
    <t>Executive VP Sales and Marketing</t>
  </si>
  <si>
    <t>Executive VP CMC and Manufacturing</t>
  </si>
  <si>
    <t>Global Commercial Lead</t>
  </si>
  <si>
    <t>Global SME</t>
  </si>
  <si>
    <t>Global Head of R&amp;D</t>
  </si>
  <si>
    <t>Global Head of Commercial</t>
  </si>
  <si>
    <t>Global Head of Sales</t>
  </si>
  <si>
    <t>Head, Innovation</t>
  </si>
  <si>
    <t>Head of Cell &amp; Gene Therapy</t>
  </si>
  <si>
    <t>Head of Cell and Gene</t>
  </si>
  <si>
    <t>Head of Transactions and International</t>
  </si>
  <si>
    <t>Head of Manufacturing Innovation</t>
  </si>
  <si>
    <t>Head of Cellular Therapy</t>
  </si>
  <si>
    <t>Head of Strategy and Operations</t>
  </si>
  <si>
    <t>Head of Clinical and Process Development</t>
  </si>
  <si>
    <t>Senior Cell Processing Specialist</t>
  </si>
  <si>
    <t>Master Practice Expert</t>
  </si>
  <si>
    <t>Personal knowledge management Sales</t>
  </si>
  <si>
    <t>Medical Business</t>
  </si>
  <si>
    <t>Practice Lead</t>
  </si>
  <si>
    <t>Principal Scientist</t>
  </si>
  <si>
    <t>Product Planner</t>
  </si>
  <si>
    <t>Program Manger</t>
  </si>
  <si>
    <t>Scientific</t>
  </si>
  <si>
    <t>Senior Advisor Data Science and Statistics</t>
  </si>
  <si>
    <t>Senior Advisor Business Development</t>
  </si>
  <si>
    <t>Senior Vice President Scientific Affairs</t>
  </si>
  <si>
    <t>Senior Director Process &amp; Analytical Development</t>
  </si>
  <si>
    <t>Senior Director Immunology</t>
  </si>
  <si>
    <t>Senior Director Cell Therapy</t>
  </si>
  <si>
    <t xml:space="preserve">Senior Director Technical Operations </t>
  </si>
  <si>
    <t>Senior Director Clinical Trials</t>
  </si>
  <si>
    <t xml:space="preserve">Senior Director Sales and Business Development </t>
  </si>
  <si>
    <t>Senior Director Clinical Development</t>
  </si>
  <si>
    <t>Senior Director Strategic Initiatives</t>
  </si>
  <si>
    <t>Senior Managing Director  Head of Oncology</t>
  </si>
  <si>
    <t>Speaker Presentations</t>
  </si>
  <si>
    <t>WebinarEmails</t>
  </si>
  <si>
    <t>spex</t>
  </si>
  <si>
    <t>webinars</t>
  </si>
  <si>
    <t>email</t>
  </si>
  <si>
    <t>365 email</t>
  </si>
  <si>
    <t>Senior VP Program Portfolio Management</t>
  </si>
  <si>
    <t>Senior VP Head Genetic Medicine</t>
  </si>
  <si>
    <t>VP Cell Therapy Franchise</t>
  </si>
  <si>
    <t>VP GMP Quality and Compliance</t>
  </si>
  <si>
    <t>VP BioIndustry</t>
  </si>
  <si>
    <t>VP Business Development &amp; Practice Expert</t>
  </si>
  <si>
    <t>VP Quality</t>
  </si>
  <si>
    <t>VP Technical Operations</t>
  </si>
  <si>
    <t>VP Process and Analytical Development</t>
  </si>
  <si>
    <t>VP Business Development &amp; Marketing</t>
  </si>
  <si>
    <t>VP Head Global Value &amp; Access</t>
  </si>
  <si>
    <t>VP Research &amp; Development, Hematology</t>
  </si>
  <si>
    <t>VP Passive Systems Innovation</t>
  </si>
  <si>
    <t>Senior VP Global Commercial</t>
  </si>
  <si>
    <t>Senior VP CD &amp; BD</t>
  </si>
  <si>
    <t>Senior VP Clinical Operations</t>
  </si>
  <si>
    <t>Senior VP US Manufacturing</t>
  </si>
  <si>
    <t>Senior VP CMC</t>
  </si>
  <si>
    <t>Senior VP Bioinnovation</t>
  </si>
  <si>
    <t>Senior VP Business Development and Strategy</t>
  </si>
  <si>
    <t>Senior VP Technical Operations</t>
  </si>
  <si>
    <t xml:space="preserve">Senior VP Commercialization </t>
  </si>
  <si>
    <t>Senior VP Global Strategic Partnerships</t>
  </si>
  <si>
    <t>VP  sales</t>
  </si>
  <si>
    <t>VP Market Development</t>
  </si>
  <si>
    <t>Senior VP Chief Science Officer</t>
  </si>
  <si>
    <t>Senior VP Business Development</t>
  </si>
  <si>
    <t>Senior Applications Specialist</t>
  </si>
  <si>
    <t>Senior Director, Strategy &amp; Objectives</t>
  </si>
  <si>
    <t>Senior Field Application Specialist</t>
  </si>
  <si>
    <t>Senior Director Manufacturing Science and Technology</t>
  </si>
  <si>
    <t>Senior Director, Business Development, Cell and Gene Therapy</t>
  </si>
  <si>
    <t>Senior Director, Global Business Development, Cell and Gene Therapy</t>
  </si>
  <si>
    <t>Senior  Event Marketing Specialist</t>
  </si>
  <si>
    <t>Senior Software Sales</t>
  </si>
  <si>
    <t>Senior Vice President - Global Strategic Manufacturing</t>
  </si>
  <si>
    <t>Senior Director Global BD Team</t>
  </si>
  <si>
    <t>Senior Director Strategic Sourcing, Cell Therapy</t>
  </si>
  <si>
    <t xml:space="preserve">Senior Director Sales </t>
  </si>
  <si>
    <t>Senior Biotech Specialist</t>
  </si>
  <si>
    <t>Senior Director  Business Development</t>
  </si>
  <si>
    <t>Senior  Director CMC Commercial Strategy</t>
  </si>
  <si>
    <t>Senior  Business Development Manager</t>
  </si>
  <si>
    <t>Senior Regenerative Medicine Technical Specialist</t>
  </si>
  <si>
    <t>Senior Director Research &amp; Development</t>
  </si>
  <si>
    <t>VP Sales &amp; Business Development</t>
  </si>
  <si>
    <t>VP Global Sales and Corporate Development</t>
  </si>
  <si>
    <t>VP- US Business Development</t>
  </si>
  <si>
    <t>VP &amp; Business Head, Cell &amp; Gene Therapy, Nucleic Acids</t>
  </si>
  <si>
    <t>VP Marketing, Sales &amp; Logistic</t>
  </si>
  <si>
    <t>VP Commercial</t>
  </si>
  <si>
    <t>VP of Business Development, Cell Therapy</t>
  </si>
  <si>
    <t>VP of Operations</t>
  </si>
  <si>
    <t>VP Technical Operations, Cell Therapy</t>
  </si>
  <si>
    <t xml:space="preserve">VP of Sales </t>
  </si>
  <si>
    <t xml:space="preserve">VP Biologics Sales  </t>
  </si>
  <si>
    <t xml:space="preserve">VP of Key Accounts &amp; Commercial Strategy </t>
  </si>
  <si>
    <t xml:space="preserve">VP CMC Management, Purification &amp; Drug Product Sciences </t>
  </si>
  <si>
    <t xml:space="preserve">VP Bioprocessing &amp; Applications </t>
  </si>
  <si>
    <t>VP Client Services, DNA</t>
  </si>
  <si>
    <t>VP CMC</t>
  </si>
  <si>
    <t>VP Sales - Custom Product Solutions</t>
  </si>
  <si>
    <t>VP Research</t>
  </si>
  <si>
    <t>VP Human Resources</t>
  </si>
  <si>
    <t>VP Regenerative Medicine</t>
  </si>
  <si>
    <t>VP Manufacturing &amp; Supply Chain</t>
  </si>
  <si>
    <t>VP Marketing</t>
  </si>
  <si>
    <t>VP Head of Innovation</t>
  </si>
  <si>
    <t>VP Head of CMC</t>
  </si>
  <si>
    <t>VP Process Engineering &amp; Manufacturing</t>
  </si>
  <si>
    <t>VP Medical Services</t>
  </si>
  <si>
    <t>VP Cell Therapy Manufacturing</t>
  </si>
  <si>
    <t>VP Product Development</t>
  </si>
  <si>
    <t>Executive</t>
  </si>
  <si>
    <t>Senior</t>
  </si>
  <si>
    <t>Seniority</t>
  </si>
  <si>
    <t>Israel</t>
  </si>
  <si>
    <t>Count of Seniority</t>
  </si>
  <si>
    <t>Grand Total</t>
  </si>
  <si>
    <t>Row Labels</t>
  </si>
  <si>
    <t>Visprom Registration Webinar</t>
  </si>
  <si>
    <t>Conversion</t>
  </si>
  <si>
    <t>Non-member comms</t>
  </si>
  <si>
    <t>Visprom Registration DS Email</t>
  </si>
  <si>
    <t>Newsletter</t>
  </si>
  <si>
    <t>Exprom Sponsor Acquisition</t>
  </si>
  <si>
    <t>Visprom Registration Email</t>
  </si>
  <si>
    <t>Exprom Email</t>
  </si>
  <si>
    <t>Excom Email</t>
  </si>
  <si>
    <t>Visprom Conversion Email</t>
  </si>
  <si>
    <t>Visprom Email</t>
  </si>
  <si>
    <t>Abandoned cart</t>
  </si>
  <si>
    <t>credit vouchers</t>
  </si>
  <si>
    <t>Speakers</t>
  </si>
  <si>
    <t>Advanced Therapies Europe 2024</t>
  </si>
  <si>
    <t>2022</t>
  </si>
  <si>
    <t>2017</t>
  </si>
  <si>
    <t>2020</t>
  </si>
  <si>
    <t>2019</t>
  </si>
  <si>
    <t>2018</t>
  </si>
  <si>
    <t>Other</t>
  </si>
  <si>
    <t>Region</t>
  </si>
  <si>
    <t>EMEA</t>
  </si>
  <si>
    <t>NA</t>
  </si>
  <si>
    <t>APAC</t>
  </si>
  <si>
    <t>Count of Contact ID</t>
  </si>
  <si>
    <t>Jan</t>
  </si>
  <si>
    <t>Mar</t>
  </si>
  <si>
    <t>Apr</t>
  </si>
  <si>
    <t>May</t>
  </si>
  <si>
    <t>Jun</t>
  </si>
  <si>
    <t>Jul</t>
  </si>
  <si>
    <t>Aug</t>
  </si>
  <si>
    <t>Sep</t>
  </si>
  <si>
    <t>Oct</t>
  </si>
  <si>
    <t>Nov</t>
  </si>
  <si>
    <t>Dec</t>
  </si>
  <si>
    <t>Feb</t>
  </si>
  <si>
    <t>CTR</t>
  </si>
  <si>
    <t>Conversion rate Max</t>
  </si>
  <si>
    <t>Conversion rate Min</t>
  </si>
  <si>
    <t>MAX Conversion</t>
  </si>
  <si>
    <t>MIN Conversion</t>
  </si>
  <si>
    <t>Years (Created date)</t>
  </si>
  <si>
    <t>Months (Created date)</t>
  </si>
  <si>
    <t>2017 Total</t>
  </si>
  <si>
    <t>2018 Total</t>
  </si>
  <si>
    <t>2019 Total</t>
  </si>
  <si>
    <t>2020 Total</t>
  </si>
  <si>
    <t>2022 Total</t>
  </si>
  <si>
    <t>Date</t>
  </si>
  <si>
    <t>Engagement through clicks</t>
  </si>
  <si>
    <t>Visitor to product page</t>
  </si>
  <si>
    <t>Email campaign performance metrics per campaign</t>
  </si>
  <si>
    <t>Campaign</t>
  </si>
  <si>
    <t>Email open</t>
  </si>
  <si>
    <t>Product page visitors</t>
  </si>
  <si>
    <t>Opened emails</t>
  </si>
  <si>
    <t>Email Performance Dashboard</t>
  </si>
  <si>
    <t>Target Audience Dashboard</t>
  </si>
  <si>
    <t>Not mentioned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</si>
</sst>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1">
    <font>
      <sz val="11"/>
      <color theme="1"/>
      <name val="Calibri"/>
      <family val="2"/>
      <scheme val="minor"/>
    </font>
    <font>
      <b/>
      <sz val="11"/>
      <color theme="1"/>
      <name val="Calibri"/>
      <family val="2"/>
      <scheme val="minor"/>
    </font>
    <font>
      <sz val="11"/>
      <color rgb="FF000000"/>
      <name val="Aptos Narrow"/>
      <family val="2"/>
    </font>
    <font>
      <sz val="11"/>
      <color theme="1"/>
      <name val="Calibri"/>
      <family val="2"/>
      <scheme val="minor"/>
    </font>
    <font>
      <sz val="11"/>
      <color rgb="FFFF0000"/>
      <name val="Calibri"/>
      <family val="2"/>
      <scheme val="minor"/>
    </font>
    <font>
      <b/>
      <sz val="11"/>
      <color rgb="FFFF0000"/>
      <name val="Calibri"/>
      <family val="2"/>
      <scheme val="minor"/>
    </font>
    <font>
      <sz val="11"/>
      <color rgb="FF000000"/>
      <name val="Calibri"/>
      <family val="2"/>
      <scheme val="minor"/>
    </font>
    <font>
      <b/>
      <sz val="28"/>
      <color theme="0"/>
      <name val="Calibri (Body)"/>
    </font>
    <font>
      <b/>
      <sz val="28"/>
      <color theme="0"/>
      <name val="Calibri"/>
      <family val="2"/>
      <scheme val="minor"/>
    </font>
    <font>
      <b/>
      <sz val="16"/>
      <color theme="1"/>
      <name val="Calibri (Body)"/>
    </font>
    <font>
      <b/>
      <sz val="16"/>
      <color theme="1"/>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941100"/>
        <bgColor indexed="64"/>
      </patternFill>
    </fill>
    <fill>
      <patternFill patternType="solid">
        <fgColor theme="9" tint="-0.249977111117893"/>
        <bgColor indexed="64"/>
      </patternFill>
    </fill>
    <fill>
      <patternFill patternType="solid">
        <fgColor theme="0"/>
        <bgColor indexed="64"/>
      </patternFill>
    </fill>
  </fills>
  <borders count="10">
    <border>
      <left/>
      <right/>
      <top/>
      <bottom/>
      <diagonal/>
    </border>
    <border>
      <left/>
      <right/>
      <top style="thin">
        <color rgb="FF9BC2E6"/>
      </top>
      <bottom style="thin">
        <color rgb="FF9BC2E6"/>
      </bottom>
      <diagonal/>
    </border>
    <border>
      <left style="thin">
        <color theme="2"/>
      </left>
      <right/>
      <top style="thin">
        <color theme="2"/>
      </top>
      <bottom/>
      <diagonal/>
    </border>
    <border>
      <left/>
      <right/>
      <top style="thin">
        <color theme="2"/>
      </top>
      <bottom/>
      <diagonal/>
    </border>
    <border>
      <left/>
      <right style="thin">
        <color theme="2"/>
      </right>
      <top style="thin">
        <color theme="2"/>
      </top>
      <bottom/>
      <diagonal/>
    </border>
    <border>
      <left style="thin">
        <color theme="2"/>
      </left>
      <right/>
      <top/>
      <bottom/>
      <diagonal/>
    </border>
    <border>
      <left/>
      <right style="thin">
        <color theme="2"/>
      </right>
      <top/>
      <bottom/>
      <diagonal/>
    </border>
    <border>
      <left style="thin">
        <color theme="2"/>
      </left>
      <right/>
      <top/>
      <bottom style="thin">
        <color theme="2"/>
      </bottom>
      <diagonal/>
    </border>
    <border>
      <left/>
      <right/>
      <top/>
      <bottom style="thin">
        <color theme="2"/>
      </bottom>
      <diagonal/>
    </border>
    <border>
      <left/>
      <right style="thin">
        <color theme="2"/>
      </right>
      <top/>
      <bottom style="thin">
        <color theme="2"/>
      </bottom>
      <diagonal/>
    </border>
  </borders>
  <cellStyleXfs count="2">
    <xf numFmtId="0" fontId="0" fillId="0" borderId="0"/>
    <xf numFmtId="9" fontId="3" fillId="0" borderId="0" applyFont="0" applyFill="0" applyBorder="0" applyAlignment="0" applyProtection="0"/>
  </cellStyleXfs>
  <cellXfs count="50">
    <xf numFmtId="0" fontId="0" fillId="0" borderId="0" xfId="0"/>
    <xf numFmtId="0" fontId="1" fillId="0" borderId="0" xfId="0" applyFont="1"/>
    <xf numFmtId="14" fontId="0" fillId="0" borderId="0" xfId="0" applyNumberFormat="1"/>
    <xf numFmtId="14" fontId="1" fillId="0" borderId="0" xfId="0" applyNumberFormat="1" applyFont="1" applyAlignment="1">
      <alignment horizontal="left" vertical="top"/>
    </xf>
    <xf numFmtId="14" fontId="0" fillId="0" borderId="0" xfId="0" applyNumberFormat="1" applyAlignment="1">
      <alignment horizontal="left" vertical="top"/>
    </xf>
    <xf numFmtId="14" fontId="1" fillId="0" borderId="0" xfId="0" applyNumberFormat="1" applyFont="1"/>
    <xf numFmtId="1" fontId="1" fillId="0" borderId="0" xfId="0" applyNumberFormat="1" applyFont="1" applyAlignment="1">
      <alignment horizontal="right"/>
    </xf>
    <xf numFmtId="1" fontId="0" fillId="0" borderId="0" xfId="0" applyNumberFormat="1"/>
    <xf numFmtId="0" fontId="2" fillId="0" borderId="0" xfId="0" applyFont="1"/>
    <xf numFmtId="164" fontId="1" fillId="0" borderId="0" xfId="0" applyNumberFormat="1" applyFont="1" applyAlignment="1">
      <alignment horizontal="left" vertical="top"/>
    </xf>
    <xf numFmtId="164" fontId="0" fillId="0" borderId="0" xfId="0" applyNumberFormat="1" applyAlignment="1">
      <alignment horizontal="left" vertical="top"/>
    </xf>
    <xf numFmtId="1" fontId="1" fillId="0" borderId="0" xfId="0" applyNumberFormat="1" applyFont="1"/>
    <xf numFmtId="0" fontId="4" fillId="0" borderId="0" xfId="0" applyFont="1"/>
    <xf numFmtId="14" fontId="4" fillId="0" borderId="0" xfId="0" applyNumberFormat="1" applyFont="1" applyAlignment="1">
      <alignment horizontal="left" vertical="top"/>
    </xf>
    <xf numFmtId="164" fontId="4" fillId="0" borderId="0" xfId="0" applyNumberFormat="1" applyFont="1" applyAlignment="1">
      <alignment horizontal="left" vertical="top"/>
    </xf>
    <xf numFmtId="1" fontId="4" fillId="0" borderId="0" xfId="0" applyNumberFormat="1" applyFont="1"/>
    <xf numFmtId="9" fontId="0" fillId="0" borderId="0" xfId="1" applyFont="1"/>
    <xf numFmtId="9" fontId="0" fillId="0" borderId="0" xfId="0" applyNumberFormat="1"/>
    <xf numFmtId="0" fontId="0" fillId="0" borderId="0" xfId="0" pivotButton="1"/>
    <xf numFmtId="0" fontId="0" fillId="0" borderId="0" xfId="0" applyAlignment="1">
      <alignment horizontal="left"/>
    </xf>
    <xf numFmtId="0" fontId="6" fillId="0" borderId="1" xfId="0" applyFont="1" applyBorder="1"/>
    <xf numFmtId="2" fontId="1" fillId="2" borderId="0" xfId="0" applyNumberFormat="1" applyFont="1" applyFill="1" applyAlignment="1">
      <alignment horizontal="left"/>
    </xf>
    <xf numFmtId="2" fontId="0" fillId="0" borderId="0" xfId="0" applyNumberFormat="1"/>
    <xf numFmtId="2" fontId="0" fillId="0" borderId="0" xfId="1" applyNumberFormat="1" applyFont="1"/>
    <xf numFmtId="2" fontId="3" fillId="0" borderId="0" xfId="1" applyNumberFormat="1" applyFont="1" applyAlignment="1">
      <alignment horizontal="right"/>
    </xf>
    <xf numFmtId="2" fontId="4" fillId="0" borderId="0" xfId="0" applyNumberFormat="1" applyFont="1"/>
    <xf numFmtId="2" fontId="5" fillId="0" borderId="0" xfId="0" applyNumberFormat="1" applyFont="1" applyAlignment="1">
      <alignment horizontal="right"/>
    </xf>
    <xf numFmtId="2" fontId="1" fillId="0" borderId="0" xfId="0" applyNumberFormat="1" applyFont="1" applyAlignment="1">
      <alignment horizontal="right"/>
    </xf>
    <xf numFmtId="0" fontId="0" fillId="5" borderId="0" xfId="0" applyFill="1"/>
    <xf numFmtId="9" fontId="0" fillId="0" borderId="0" xfId="0" applyNumberFormat="1" applyAlignment="1">
      <alignment horizontal="center"/>
    </xf>
    <xf numFmtId="0" fontId="0" fillId="0" borderId="0" xfId="0" applyNumberFormat="1"/>
    <xf numFmtId="0" fontId="0" fillId="5" borderId="5" xfId="0" applyFill="1" applyBorder="1"/>
    <xf numFmtId="0" fontId="0" fillId="5" borderId="0" xfId="0" applyFill="1" applyBorder="1"/>
    <xf numFmtId="0" fontId="0" fillId="5" borderId="6" xfId="0" applyFill="1" applyBorder="1"/>
    <xf numFmtId="0" fontId="0" fillId="0" borderId="5" xfId="0" pivotButton="1" applyBorder="1"/>
    <xf numFmtId="0" fontId="0" fillId="0" borderId="0" xfId="0" pivotButton="1" applyBorder="1"/>
    <xf numFmtId="0" fontId="0" fillId="0" borderId="0" xfId="0" applyBorder="1"/>
    <xf numFmtId="0" fontId="0" fillId="0" borderId="6" xfId="0" applyBorder="1"/>
    <xf numFmtId="0" fontId="0" fillId="0" borderId="5" xfId="0" applyBorder="1"/>
    <xf numFmtId="9" fontId="0" fillId="0" borderId="0" xfId="0" applyNumberFormat="1" applyBorder="1" applyAlignment="1">
      <alignment horizontal="center"/>
    </xf>
    <xf numFmtId="9" fontId="0" fillId="0" borderId="6" xfId="0" applyNumberFormat="1" applyBorder="1" applyAlignment="1">
      <alignment horizontal="center"/>
    </xf>
    <xf numFmtId="0" fontId="0" fillId="0" borderId="7" xfId="0" applyBorder="1"/>
    <xf numFmtId="0" fontId="0" fillId="0" borderId="8" xfId="0" applyBorder="1"/>
    <xf numFmtId="9" fontId="0" fillId="0" borderId="8" xfId="0" applyNumberFormat="1" applyBorder="1" applyAlignment="1">
      <alignment horizontal="center"/>
    </xf>
    <xf numFmtId="9" fontId="0" fillId="0" borderId="9" xfId="0" applyNumberFormat="1" applyBorder="1" applyAlignment="1">
      <alignment horizontal="center"/>
    </xf>
    <xf numFmtId="0" fontId="8" fillId="3" borderId="0" xfId="0" applyFont="1" applyFill="1" applyAlignment="1">
      <alignment horizontal="center" vertical="center"/>
    </xf>
    <xf numFmtId="0" fontId="7" fillId="4" borderId="0" xfId="0" applyFont="1" applyFill="1" applyAlignment="1">
      <alignment horizontal="center" vertical="center"/>
    </xf>
    <xf numFmtId="0" fontId="9" fillId="5" borderId="2" xfId="0" applyFont="1" applyFill="1" applyBorder="1" applyAlignment="1">
      <alignment horizontal="center"/>
    </xf>
    <xf numFmtId="0" fontId="10" fillId="5" borderId="3" xfId="0" applyFont="1" applyFill="1" applyBorder="1" applyAlignment="1">
      <alignment horizontal="center"/>
    </xf>
    <xf numFmtId="0" fontId="10" fillId="5" borderId="4" xfId="0" applyFont="1" applyFill="1" applyBorder="1" applyAlignment="1">
      <alignment horizontal="center"/>
    </xf>
  </cellXfs>
  <cellStyles count="2">
    <cellStyle name="Normal" xfId="0" builtinId="0"/>
    <cellStyle name="Percent" xfId="1" builtinId="5"/>
  </cellStyles>
  <dxfs count="42">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F400]h:mm:ss\ AM/PM"/>
      <alignment horizontal="left" vertical="top" textRotation="0" wrapText="0" indent="0" justifyLastLine="0" shrinkToFit="0" readingOrder="0"/>
    </dxf>
    <dxf>
      <numFmt numFmtId="19" formatCode="dd/mm/yyyy"/>
      <alignment horizontal="left" vertical="top"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 formatCode="0"/>
      <fill>
        <patternFill patternType="solid">
          <fgColor indexed="64"/>
          <bgColor theme="7" tint="0.39997558519241921"/>
        </patternFill>
      </fill>
      <alignment horizontal="left" vertical="bottom" textRotation="0" wrapText="0" indent="0" justifyLastLine="0" shrinkToFit="0" readingOrder="0"/>
    </dxf>
    <dxf>
      <numFmt numFmtId="19" formatCode="dd/mm/yyyy"/>
    </dxf>
    <dxf>
      <numFmt numFmtId="19" formatCode="dd/mm/yyyy"/>
    </dxf>
    <dxf>
      <font>
        <b val="0"/>
        <i val="0"/>
        <strike val="0"/>
        <condense val="0"/>
        <extend val="0"/>
        <outline val="0"/>
        <shadow val="0"/>
        <u val="none"/>
        <vertAlign val="baseline"/>
        <sz val="11"/>
        <color rgb="FF000000"/>
        <name val="Aptos Narrow"/>
        <family val="2"/>
        <scheme val="none"/>
      </font>
    </dxf>
    <dxf>
      <font>
        <b/>
        <i val="0"/>
        <strike val="0"/>
        <condense val="0"/>
        <extend val="0"/>
        <outline val="0"/>
        <shadow val="0"/>
        <u val="none"/>
        <vertAlign val="baseline"/>
        <sz val="11"/>
        <color theme="1"/>
        <name val="Calibri"/>
        <family val="2"/>
        <scheme val="minor"/>
      </font>
    </dxf>
    <dxf>
      <numFmt numFmtId="13" formatCode="0%"/>
    </dxf>
    <dxf>
      <numFmt numFmtId="19" formatCode="dd/mm/yyyy"/>
    </dxf>
    <dxf>
      <alignment horizontal="center"/>
    </dxf>
    <dxf>
      <numFmt numFmtId="13" formatCode="0%"/>
    </dxf>
    <dxf>
      <numFmt numFmtId="19" formatCode="dd/mm/yyyy"/>
    </dxf>
    <dxf>
      <border>
        <left style="thin">
          <color theme="2"/>
        </left>
        <right style="thin">
          <color theme="2"/>
        </right>
        <top style="thin">
          <color theme="2"/>
        </top>
        <bottom style="thin">
          <color theme="2"/>
        </bottom>
      </border>
    </dxf>
    <dxf>
      <border>
        <left style="thin">
          <color theme="2"/>
        </left>
        <right style="thin">
          <color theme="2"/>
        </right>
        <top style="thin">
          <color theme="2"/>
        </top>
        <bottom style="thin">
          <color theme="2"/>
        </bottom>
      </border>
    </dxf>
    <dxf>
      <border>
        <left style="thin">
          <color theme="2"/>
        </left>
        <right style="thin">
          <color theme="2"/>
        </right>
        <top style="thin">
          <color theme="2"/>
        </top>
        <bottom style="thin">
          <color theme="2"/>
        </bottom>
      </border>
    </dxf>
    <dxf>
      <border>
        <left style="thin">
          <color theme="2"/>
        </left>
        <right style="thin">
          <color theme="2"/>
        </right>
        <top style="thin">
          <color theme="2"/>
        </top>
        <bottom style="thin">
          <color theme="2"/>
        </bottom>
      </border>
    </dxf>
    <dxf>
      <border>
        <left style="thin">
          <color theme="2"/>
        </left>
        <right style="thin">
          <color theme="2"/>
        </right>
        <top style="thin">
          <color theme="2"/>
        </top>
        <bottom style="thin">
          <color theme="2"/>
        </bottom>
      </border>
    </dxf>
    <dxf>
      <border>
        <left style="thin">
          <color theme="2"/>
        </left>
        <right style="thin">
          <color theme="2"/>
        </right>
        <top style="thin">
          <color theme="2"/>
        </top>
        <bottom style="thin">
          <color theme="2"/>
        </bottom>
      </border>
    </dxf>
    <dxf>
      <border>
        <left style="thin">
          <color theme="2"/>
        </left>
        <right style="thin">
          <color theme="2"/>
        </right>
        <top style="thin">
          <color theme="2"/>
        </top>
        <bottom style="thin">
          <color theme="2"/>
        </bottom>
      </border>
    </dxf>
    <dxf>
      <alignment horizontal="center"/>
    </dxf>
    <dxf>
      <numFmt numFmtId="13" formatCode="0%"/>
    </dxf>
    <dxf>
      <numFmt numFmtId="19" formatCode="dd/mm/yyyy"/>
    </dxf>
  </dxfs>
  <tableStyles count="0" defaultTableStyle="TableStyleMedium2" defaultPivotStyle="PivotStyleLight16"/>
  <colors>
    <mruColors>
      <color rgb="FF00C700"/>
      <color rgb="FFFF8732"/>
      <color rgb="FFE97A29"/>
      <color rgb="FFFAB7EA"/>
      <color rgb="FFF9A8E6"/>
      <color rgb="FFC18DFF"/>
      <color rgb="FFEA6B63"/>
      <color rgb="FFA46918"/>
      <color rgb="FFFF654D"/>
      <color rgb="FF0790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1/relationships/timelineCache" Target="timelineCaches/timelineCache2.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1/relationships/timelineCache" Target="timelineCaches/timelineCach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[Email Campaign &amp; Audience Analysis Dashboard copy.xlsx]New subscriber by source!PivotTable2</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600" b="1" i="0" u="none" strike="noStrike" kern="1200" spc="0" baseline="0">
                <a:solidFill>
                  <a:schemeClr val="tx1"/>
                </a:solidFill>
              </a:rPr>
              <a:t>New subscriber acquisition by source</a:t>
            </a:r>
            <a:endParaRPr lang="en-US" sz="1600" b="1" i="0" u="none" strike="noStrike" kern="1200" spc="0" baseline="0">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'New subscriber by source'!$C$3:$C$4</c:f>
              <c:strCache>
                <c:ptCount val="1"/>
                <c:pt idx="0">
                  <c:v>Google Ads</c:v>
                </c:pt>
              </c:strCache>
            </c:strRef>
          </c:tx>
          <c:spPr>
            <a:solidFill>
              <a:schemeClr val="accent1"/>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source'!$C$5:$C$32</c:f>
              <c:numCache>
                <c:formatCode>General</c:formatCode>
                <c:ptCount val="22"/>
                <c:pt idx="0">
                  <c:v>12</c:v>
                </c:pt>
                <c:pt idx="1">
                  <c:v>8</c:v>
                </c:pt>
                <c:pt idx="2">
                  <c:v>3</c:v>
                </c:pt>
                <c:pt idx="14">
                  <c:v>2</c:v>
                </c:pt>
              </c:numCache>
            </c:numRef>
          </c:val>
          <c:extLst>
            <c:ext xmlns:c16="http://schemas.microsoft.com/office/drawing/2014/chart" uri="{C3380CC4-5D6E-409C-BE32-E72D297353CC}">
              <c16:uniqueId val="{00000000-313F-D944-80FF-A0077F094D50}"/>
            </c:ext>
          </c:extLst>
        </c:ser>
        <c:ser>
          <c:idx val="1"/>
          <c:order val="1"/>
          <c:tx>
            <c:strRef>
              <c:f>'New subscriber by source'!$D$3:$D$4</c:f>
              <c:strCache>
                <c:ptCount val="1"/>
                <c:pt idx="0">
                  <c:v>LinkedIn</c:v>
                </c:pt>
              </c:strCache>
            </c:strRef>
          </c:tx>
          <c:spPr>
            <a:solidFill>
              <a:schemeClr val="accent2"/>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source'!$D$5:$D$32</c:f>
              <c:numCache>
                <c:formatCode>General</c:formatCode>
                <c:ptCount val="22"/>
                <c:pt idx="12">
                  <c:v>22</c:v>
                </c:pt>
                <c:pt idx="13">
                  <c:v>2</c:v>
                </c:pt>
                <c:pt idx="14">
                  <c:v>29</c:v>
                </c:pt>
                <c:pt idx="15">
                  <c:v>29</c:v>
                </c:pt>
                <c:pt idx="16">
                  <c:v>32</c:v>
                </c:pt>
                <c:pt idx="17">
                  <c:v>15</c:v>
                </c:pt>
              </c:numCache>
            </c:numRef>
          </c:val>
          <c:extLst>
            <c:ext xmlns:c16="http://schemas.microsoft.com/office/drawing/2014/chart" uri="{C3380CC4-5D6E-409C-BE32-E72D297353CC}">
              <c16:uniqueId val="{00000005-AADE-9140-BB2F-7311413C9575}"/>
            </c:ext>
          </c:extLst>
        </c:ser>
        <c:ser>
          <c:idx val="2"/>
          <c:order val="2"/>
          <c:tx>
            <c:strRef>
              <c:f>'New subscriber by source'!$E$3:$E$4</c:f>
              <c:strCache>
                <c:ptCount val="1"/>
                <c:pt idx="0">
                  <c:v>LinkedIn Ad</c:v>
                </c:pt>
              </c:strCache>
            </c:strRef>
          </c:tx>
          <c:spPr>
            <a:solidFill>
              <a:schemeClr val="accent3"/>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source'!$E$5:$E$32</c:f>
              <c:numCache>
                <c:formatCode>General</c:formatCode>
                <c:ptCount val="22"/>
                <c:pt idx="20">
                  <c:v>8</c:v>
                </c:pt>
                <c:pt idx="21">
                  <c:v>31</c:v>
                </c:pt>
              </c:numCache>
            </c:numRef>
          </c:val>
          <c:extLst>
            <c:ext xmlns:c16="http://schemas.microsoft.com/office/drawing/2014/chart" uri="{C3380CC4-5D6E-409C-BE32-E72D297353CC}">
              <c16:uniqueId val="{00000006-AADE-9140-BB2F-7311413C9575}"/>
            </c:ext>
          </c:extLst>
        </c:ser>
        <c:ser>
          <c:idx val="3"/>
          <c:order val="3"/>
          <c:tx>
            <c:strRef>
              <c:f>'New subscriber by source'!$F$3:$F$4</c:f>
              <c:strCache>
                <c:ptCount val="1"/>
                <c:pt idx="0">
                  <c:v>Organic search</c:v>
                </c:pt>
              </c:strCache>
            </c:strRef>
          </c:tx>
          <c:spPr>
            <a:solidFill>
              <a:schemeClr val="accent4"/>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source'!$F$5:$F$32</c:f>
              <c:numCache>
                <c:formatCode>General</c:formatCode>
                <c:ptCount val="22"/>
                <c:pt idx="19">
                  <c:v>10</c:v>
                </c:pt>
                <c:pt idx="20">
                  <c:v>32</c:v>
                </c:pt>
                <c:pt idx="21">
                  <c:v>38</c:v>
                </c:pt>
              </c:numCache>
            </c:numRef>
          </c:val>
          <c:extLst>
            <c:ext xmlns:c16="http://schemas.microsoft.com/office/drawing/2014/chart" uri="{C3380CC4-5D6E-409C-BE32-E72D297353CC}">
              <c16:uniqueId val="{00000007-AADE-9140-BB2F-7311413C9575}"/>
            </c:ext>
          </c:extLst>
        </c:ser>
        <c:ser>
          <c:idx val="4"/>
          <c:order val="4"/>
          <c:tx>
            <c:strRef>
              <c:f>'New subscriber by source'!$G$3:$G$4</c:f>
              <c:strCache>
                <c:ptCount val="1"/>
                <c:pt idx="0">
                  <c:v>Past Event</c:v>
                </c:pt>
              </c:strCache>
            </c:strRef>
          </c:tx>
          <c:spPr>
            <a:solidFill>
              <a:schemeClr val="accent5"/>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source'!$G$5:$G$32</c:f>
              <c:numCache>
                <c:formatCode>General</c:formatCode>
                <c:ptCount val="22"/>
                <c:pt idx="18">
                  <c:v>1</c:v>
                </c:pt>
                <c:pt idx="19">
                  <c:v>8</c:v>
                </c:pt>
                <c:pt idx="20">
                  <c:v>56</c:v>
                </c:pt>
                <c:pt idx="21">
                  <c:v>40</c:v>
                </c:pt>
              </c:numCache>
            </c:numRef>
          </c:val>
          <c:extLst>
            <c:ext xmlns:c16="http://schemas.microsoft.com/office/drawing/2014/chart" uri="{C3380CC4-5D6E-409C-BE32-E72D297353CC}">
              <c16:uniqueId val="{00000008-AADE-9140-BB2F-7311413C9575}"/>
            </c:ext>
          </c:extLst>
        </c:ser>
        <c:ser>
          <c:idx val="5"/>
          <c:order val="5"/>
          <c:tx>
            <c:strRef>
              <c:f>'New subscriber by source'!$H$3:$H$4</c:f>
              <c:strCache>
                <c:ptCount val="1"/>
                <c:pt idx="0">
                  <c:v>Referral</c:v>
                </c:pt>
              </c:strCache>
            </c:strRef>
          </c:tx>
          <c:spPr>
            <a:solidFill>
              <a:schemeClr val="accent6"/>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source'!$H$5:$H$32</c:f>
              <c:numCache>
                <c:formatCode>General</c:formatCode>
                <c:ptCount val="22"/>
                <c:pt idx="18">
                  <c:v>2</c:v>
                </c:pt>
                <c:pt idx="19">
                  <c:v>30</c:v>
                </c:pt>
                <c:pt idx="20">
                  <c:v>54</c:v>
                </c:pt>
                <c:pt idx="21">
                  <c:v>62</c:v>
                </c:pt>
              </c:numCache>
            </c:numRef>
          </c:val>
          <c:extLst>
            <c:ext xmlns:c16="http://schemas.microsoft.com/office/drawing/2014/chart" uri="{C3380CC4-5D6E-409C-BE32-E72D297353CC}">
              <c16:uniqueId val="{00000009-AADE-9140-BB2F-7311413C9575}"/>
            </c:ext>
          </c:extLst>
        </c:ser>
        <c:ser>
          <c:idx val="6"/>
          <c:order val="6"/>
          <c:tx>
            <c:strRef>
              <c:f>'New subscriber by source'!$I$3:$I$4</c:f>
              <c:strCache>
                <c:ptCount val="1"/>
                <c:pt idx="0">
                  <c:v>Sales</c:v>
                </c:pt>
              </c:strCache>
            </c:strRef>
          </c:tx>
          <c:spPr>
            <a:solidFill>
              <a:schemeClr val="accent1">
                <a:lumMod val="60000"/>
              </a:schemeClr>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source'!$I$5:$I$32</c:f>
              <c:numCache>
                <c:formatCode>General</c:formatCode>
                <c:ptCount val="22"/>
                <c:pt idx="3">
                  <c:v>6</c:v>
                </c:pt>
                <c:pt idx="4">
                  <c:v>6</c:v>
                </c:pt>
                <c:pt idx="5">
                  <c:v>17</c:v>
                </c:pt>
                <c:pt idx="6">
                  <c:v>15</c:v>
                </c:pt>
                <c:pt idx="7">
                  <c:v>15</c:v>
                </c:pt>
                <c:pt idx="8">
                  <c:v>27</c:v>
                </c:pt>
                <c:pt idx="9">
                  <c:v>31</c:v>
                </c:pt>
                <c:pt idx="10">
                  <c:v>30</c:v>
                </c:pt>
                <c:pt idx="11">
                  <c:v>29</c:v>
                </c:pt>
                <c:pt idx="12">
                  <c:v>7</c:v>
                </c:pt>
                <c:pt idx="14">
                  <c:v>2</c:v>
                </c:pt>
              </c:numCache>
            </c:numRef>
          </c:val>
          <c:extLst>
            <c:ext xmlns:c16="http://schemas.microsoft.com/office/drawing/2014/chart" uri="{C3380CC4-5D6E-409C-BE32-E72D297353CC}">
              <c16:uniqueId val="{0000000A-AADE-9140-BB2F-7311413C9575}"/>
            </c:ext>
          </c:extLst>
        </c:ser>
        <c:ser>
          <c:idx val="7"/>
          <c:order val="7"/>
          <c:tx>
            <c:strRef>
              <c:f>'New subscriber by source'!$J$3:$J$4</c:f>
              <c:strCache>
                <c:ptCount val="1"/>
                <c:pt idx="0">
                  <c:v>Twitter</c:v>
                </c:pt>
              </c:strCache>
            </c:strRef>
          </c:tx>
          <c:spPr>
            <a:solidFill>
              <a:schemeClr val="accent2">
                <a:lumMod val="60000"/>
              </a:schemeClr>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source'!$J$5:$J$32</c:f>
              <c:numCache>
                <c:formatCode>General</c:formatCode>
                <c:ptCount val="22"/>
                <c:pt idx="17">
                  <c:v>2</c:v>
                </c:pt>
                <c:pt idx="19">
                  <c:v>1</c:v>
                </c:pt>
                <c:pt idx="20">
                  <c:v>7</c:v>
                </c:pt>
                <c:pt idx="21">
                  <c:v>11</c:v>
                </c:pt>
              </c:numCache>
            </c:numRef>
          </c:val>
          <c:extLst>
            <c:ext xmlns:c16="http://schemas.microsoft.com/office/drawing/2014/chart" uri="{C3380CC4-5D6E-409C-BE32-E72D297353CC}">
              <c16:uniqueId val="{00000000-8DE3-254A-B8B3-561841346E99}"/>
            </c:ext>
          </c:extLst>
        </c:ser>
        <c:dLbls>
          <c:showLegendKey val="0"/>
          <c:showVal val="0"/>
          <c:showCatName val="0"/>
          <c:showSerName val="0"/>
          <c:showPercent val="0"/>
          <c:showBubbleSize val="0"/>
        </c:dLbls>
        <c:gapWidth val="150"/>
        <c:overlap val="100"/>
        <c:axId val="423327024"/>
        <c:axId val="1400748336"/>
      </c:barChart>
      <c:catAx>
        <c:axId val="42332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748336"/>
        <c:crosses val="autoZero"/>
        <c:auto val="1"/>
        <c:lblAlgn val="ctr"/>
        <c:lblOffset val="100"/>
        <c:noMultiLvlLbl val="0"/>
      </c:catAx>
      <c:valAx>
        <c:axId val="1400748336"/>
        <c:scaling>
          <c:orientation val="minMax"/>
        </c:scaling>
        <c:delete val="1"/>
        <c:axPos val="l"/>
        <c:numFmt formatCode="General" sourceLinked="1"/>
        <c:majorTickMark val="none"/>
        <c:minorTickMark val="none"/>
        <c:tickLblPos val="nextTo"/>
        <c:crossAx val="42332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[Email Campaign &amp; Audience Analysis Dashboard copy.xlsx]Seniority!PivotTable2</c:name>
    <c:fmtId val="2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600" b="1" i="0" u="none" strike="noStrike" kern="1200" spc="0" baseline="0">
                <a:solidFill>
                  <a:schemeClr val="tx1"/>
                </a:solidFill>
              </a:rPr>
              <a:t>Only 11% of contacts are senior with another 1 in 8 off-target </a:t>
            </a:r>
            <a:endParaRPr lang="en-US" sz="1600" b="1" i="0" u="none" strike="noStrike" kern="1200" spc="0" baseline="0">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FF6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41100"/>
          </a:solidFill>
          <a:ln>
            <a:solidFill>
              <a:srgbClr val="941100"/>
            </a:solidFill>
          </a:ln>
          <a:effectLst/>
        </c:spPr>
      </c:pivotFmt>
      <c:pivotFmt>
        <c:idx val="2"/>
        <c:spPr>
          <a:solidFill>
            <a:srgbClr val="941100"/>
          </a:solidFill>
          <a:ln>
            <a:noFill/>
          </a:ln>
          <a:effectLst/>
        </c:spPr>
      </c:pivotFmt>
      <c:pivotFmt>
        <c:idx val="3"/>
        <c:spPr>
          <a:solidFill>
            <a:srgbClr val="941100"/>
          </a:solidFill>
          <a:ln>
            <a:noFill/>
          </a:ln>
          <a:effectLst/>
        </c:spPr>
      </c:pivotFmt>
      <c:pivotFmt>
        <c:idx val="4"/>
        <c:spPr>
          <a:solidFill>
            <a:srgbClr val="941100"/>
          </a:solidFill>
          <a:ln>
            <a:noFill/>
          </a:ln>
          <a:effectLst/>
        </c:spPr>
      </c:pivotFmt>
      <c:pivotFmt>
        <c:idx val="5"/>
        <c:spPr>
          <a:solidFill>
            <a:srgbClr val="941100"/>
          </a:solidFill>
          <a:ln>
            <a:noFill/>
          </a:ln>
          <a:effectLst/>
        </c:spPr>
      </c:pivotFmt>
      <c:pivotFmt>
        <c:idx val="6"/>
        <c:spPr>
          <a:solidFill>
            <a:srgbClr val="941100"/>
          </a:solidFill>
          <a:ln>
            <a:noFill/>
          </a:ln>
          <a:effectLst/>
        </c:spPr>
      </c:pivotFmt>
      <c:pivotFmt>
        <c:idx val="7"/>
        <c:spPr>
          <a:solidFill>
            <a:srgbClr val="941100"/>
          </a:solidFill>
          <a:ln>
            <a:noFill/>
          </a:ln>
          <a:effectLst/>
        </c:spPr>
      </c:pivotFmt>
      <c:pivotFmt>
        <c:idx val="8"/>
        <c:spPr>
          <a:solidFill>
            <a:srgbClr val="FF6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41100"/>
          </a:solidFill>
          <a:ln>
            <a:noFill/>
          </a:ln>
          <a:effectLst/>
        </c:spPr>
      </c:pivotFmt>
      <c:pivotFmt>
        <c:idx val="10"/>
        <c:spPr>
          <a:solidFill>
            <a:srgbClr val="941100"/>
          </a:solidFill>
          <a:ln>
            <a:noFill/>
          </a:ln>
          <a:effectLst/>
        </c:spPr>
      </c:pivotFmt>
      <c:pivotFmt>
        <c:idx val="11"/>
        <c:spPr>
          <a:solidFill>
            <a:srgbClr val="941100"/>
          </a:solidFill>
          <a:ln>
            <a:noFill/>
          </a:ln>
          <a:effectLst/>
        </c:spPr>
      </c:pivotFmt>
      <c:pivotFmt>
        <c:idx val="12"/>
        <c:spPr>
          <a:solidFill>
            <a:srgbClr val="941100"/>
          </a:solidFill>
          <a:ln>
            <a:noFill/>
          </a:ln>
          <a:effectLst/>
        </c:spPr>
      </c:pivotFmt>
      <c:pivotFmt>
        <c:idx val="13"/>
        <c:spPr>
          <a:solidFill>
            <a:srgbClr val="941100"/>
          </a:solidFill>
          <a:ln>
            <a:solidFill>
              <a:srgbClr val="941100"/>
            </a:solidFill>
          </a:ln>
          <a:effectLst/>
        </c:spPr>
      </c:pivotFmt>
      <c:pivotFmt>
        <c:idx val="14"/>
        <c:spPr>
          <a:solidFill>
            <a:srgbClr val="941100"/>
          </a:solidFill>
          <a:ln>
            <a:noFill/>
          </a:ln>
          <a:effectLst/>
        </c:spPr>
      </c:pivotFmt>
      <c:pivotFmt>
        <c:idx val="15"/>
        <c:spPr>
          <a:solidFill>
            <a:srgbClr val="FF654D">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pivotFmt>
      <c:pivotFmt>
        <c:idx val="17"/>
        <c:spPr>
          <a:solidFill>
            <a:schemeClr val="accent4"/>
          </a:solidFill>
          <a:ln>
            <a:noFill/>
          </a:ln>
          <a:effectLst/>
        </c:spPr>
      </c:pivotFmt>
      <c:pivotFmt>
        <c:idx val="18"/>
        <c:spPr>
          <a:solidFill>
            <a:schemeClr val="accent4"/>
          </a:solidFill>
          <a:ln>
            <a:noFill/>
          </a:ln>
          <a:effectLst/>
        </c:spPr>
      </c:pivotFmt>
      <c:pivotFmt>
        <c:idx val="19"/>
        <c:spPr>
          <a:solidFill>
            <a:schemeClr val="accent4"/>
          </a:solidFill>
          <a:ln>
            <a:noFill/>
          </a:ln>
          <a:effectLst/>
        </c:spPr>
      </c:pivotFmt>
      <c:pivotFmt>
        <c:idx val="20"/>
        <c:spPr>
          <a:solidFill>
            <a:srgbClr val="941100"/>
          </a:solidFill>
          <a:ln>
            <a:noFill/>
          </a:ln>
          <a:effectLst/>
        </c:spPr>
      </c:pivotFmt>
      <c:pivotFmt>
        <c:idx val="21"/>
        <c:spPr>
          <a:solidFill>
            <a:schemeClr val="accent4"/>
          </a:solidFill>
          <a:ln>
            <a:noFill/>
          </a:ln>
          <a:effectLst/>
        </c:spPr>
      </c:pivotFmt>
      <c:pivotFmt>
        <c:idx val="22"/>
        <c:spPr>
          <a:solidFill>
            <a:schemeClr val="accent4">
              <a:lumMod val="60000"/>
              <a:lumOff val="40000"/>
              <a:alpha val="50000"/>
            </a:schemeClr>
          </a:solidFill>
          <a:ln>
            <a:noFill/>
          </a:ln>
          <a:effectLst/>
        </c:spPr>
      </c:pivotFmt>
      <c:pivotFmt>
        <c:idx val="23"/>
        <c:spPr>
          <a:solidFill>
            <a:schemeClr val="accent4"/>
          </a:solidFill>
          <a:ln>
            <a:noFill/>
          </a:ln>
          <a:effectLst/>
        </c:spPr>
      </c:pivotFmt>
      <c:pivotFmt>
        <c:idx val="24"/>
        <c:spPr>
          <a:solidFill>
            <a:schemeClr val="accent4"/>
          </a:solidFill>
          <a:ln>
            <a:noFill/>
          </a:ln>
          <a:effectLst/>
        </c:spPr>
      </c:pivotFmt>
      <c:pivotFmt>
        <c:idx val="25"/>
        <c:spPr>
          <a:solidFill>
            <a:schemeClr val="accent4"/>
          </a:solidFill>
          <a:ln>
            <a:noFill/>
          </a:ln>
          <a:effectLst/>
        </c:spPr>
      </c:pivotFmt>
      <c:pivotFmt>
        <c:idx val="26"/>
        <c:spPr>
          <a:solidFill>
            <a:schemeClr val="accent4"/>
          </a:solidFill>
          <a:ln>
            <a:noFill/>
          </a:ln>
          <a:effectLst/>
        </c:spPr>
      </c:pivotFmt>
      <c:pivotFmt>
        <c:idx val="27"/>
        <c:spPr>
          <a:solidFill>
            <a:schemeClr val="accent4"/>
          </a:solidFill>
          <a:ln>
            <a:noFill/>
          </a:ln>
          <a:effectLst/>
        </c:spPr>
      </c:pivotFmt>
      <c:pivotFmt>
        <c:idx val="28"/>
        <c:spPr>
          <a:solidFill>
            <a:schemeClr val="accent4">
              <a:alpha val="80000"/>
            </a:schemeClr>
          </a:solidFill>
          <a:ln>
            <a:noFill/>
          </a:ln>
          <a:effectLst/>
        </c:spPr>
      </c:pivotFmt>
    </c:pivotFmts>
    <c:plotArea>
      <c:layout/>
      <c:barChart>
        <c:barDir val="col"/>
        <c:grouping val="clustered"/>
        <c:varyColors val="0"/>
        <c:ser>
          <c:idx val="0"/>
          <c:order val="0"/>
          <c:tx>
            <c:strRef>
              <c:f>Seniority!$B$3</c:f>
              <c:strCache>
                <c:ptCount val="1"/>
                <c:pt idx="0">
                  <c:v>Total</c:v>
                </c:pt>
              </c:strCache>
            </c:strRef>
          </c:tx>
          <c:spPr>
            <a:solidFill>
              <a:srgbClr val="FF654D">
                <a:alpha val="80000"/>
              </a:srgbClr>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19E4-B04D-8039-E872C02F8A02}"/>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1-8A5F-2747-B1D1-8964DE1850CE}"/>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3-8A5F-2747-B1D1-8964DE1850CE}"/>
              </c:ext>
            </c:extLst>
          </c:dPt>
          <c:dPt>
            <c:idx val="3"/>
            <c:invertIfNegative val="0"/>
            <c:bubble3D val="0"/>
            <c:spPr>
              <a:solidFill>
                <a:schemeClr val="accent4">
                  <a:lumMod val="60000"/>
                  <a:lumOff val="40000"/>
                  <a:alpha val="50000"/>
                </a:schemeClr>
              </a:solidFill>
              <a:ln>
                <a:noFill/>
              </a:ln>
              <a:effectLst/>
            </c:spPr>
            <c:extLst>
              <c:ext xmlns:c16="http://schemas.microsoft.com/office/drawing/2014/chart" uri="{C3380CC4-5D6E-409C-BE32-E72D297353CC}">
                <c16:uniqueId val="{00000005-8A5F-2747-B1D1-8964DE1850CE}"/>
              </c:ext>
            </c:extLst>
          </c:dPt>
          <c:dPt>
            <c:idx val="4"/>
            <c:invertIfNegative val="0"/>
            <c:bubble3D val="0"/>
            <c:spPr>
              <a:solidFill>
                <a:srgbClr val="941100"/>
              </a:solidFill>
              <a:ln>
                <a:noFill/>
              </a:ln>
              <a:effectLst/>
            </c:spPr>
            <c:extLst>
              <c:ext xmlns:c16="http://schemas.microsoft.com/office/drawing/2014/chart" uri="{C3380CC4-5D6E-409C-BE32-E72D297353CC}">
                <c16:uniqueId val="{00000009-19E4-B04D-8039-E872C02F8A02}"/>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7-8A5F-2747-B1D1-8964DE1850CE}"/>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7-92A4-A349-9798-7B39BC6ED714}"/>
              </c:ext>
            </c:extLst>
          </c:dPt>
          <c:dPt>
            <c:idx val="7"/>
            <c:invertIfNegative val="0"/>
            <c:bubble3D val="0"/>
            <c:spPr>
              <a:solidFill>
                <a:schemeClr val="accent4">
                  <a:alpha val="80000"/>
                </a:schemeClr>
              </a:solidFill>
              <a:ln>
                <a:noFill/>
              </a:ln>
              <a:effectLst/>
            </c:spPr>
            <c:extLst>
              <c:ext xmlns:c16="http://schemas.microsoft.com/office/drawing/2014/chart" uri="{C3380CC4-5D6E-409C-BE32-E72D297353CC}">
                <c16:uniqueId val="{00000008-8A5F-2747-B1D1-8964DE1850CE}"/>
              </c:ext>
            </c:extLst>
          </c:dPt>
          <c:dPt>
            <c:idx val="8"/>
            <c:invertIfNegative val="0"/>
            <c:bubble3D val="0"/>
            <c:spPr>
              <a:solidFill>
                <a:schemeClr val="accent4"/>
              </a:solidFill>
              <a:ln>
                <a:noFill/>
              </a:ln>
              <a:effectLst/>
            </c:spPr>
            <c:extLst>
              <c:ext xmlns:c16="http://schemas.microsoft.com/office/drawing/2014/chart" uri="{C3380CC4-5D6E-409C-BE32-E72D297353CC}">
                <c16:uniqueId val="{0000000A-8A5F-2747-B1D1-8964DE1850CE}"/>
              </c:ext>
            </c:extLst>
          </c:dPt>
          <c:dPt>
            <c:idx val="9"/>
            <c:invertIfNegative val="0"/>
            <c:bubble3D val="0"/>
            <c:spPr>
              <a:solidFill>
                <a:schemeClr val="accent4"/>
              </a:solidFill>
              <a:ln>
                <a:noFill/>
              </a:ln>
              <a:effectLst/>
            </c:spPr>
            <c:extLst>
              <c:ext xmlns:c16="http://schemas.microsoft.com/office/drawing/2014/chart" uri="{C3380CC4-5D6E-409C-BE32-E72D297353CC}">
                <c16:uniqueId val="{0000000C-8A5F-2747-B1D1-8964DE1850CE}"/>
              </c:ext>
            </c:extLst>
          </c:dPt>
          <c:dPt>
            <c:idx val="10"/>
            <c:invertIfNegative val="0"/>
            <c:bubble3D val="0"/>
            <c:spPr>
              <a:solidFill>
                <a:schemeClr val="accent4"/>
              </a:solidFill>
              <a:ln>
                <a:noFill/>
              </a:ln>
              <a:effectLst/>
            </c:spPr>
            <c:extLst>
              <c:ext xmlns:c16="http://schemas.microsoft.com/office/drawing/2014/chart" uri="{C3380CC4-5D6E-409C-BE32-E72D297353CC}">
                <c16:uniqueId val="{0000000D-8A5F-2747-B1D1-8964DE1850CE}"/>
              </c:ext>
            </c:extLst>
          </c:dPt>
          <c:dPt>
            <c:idx val="11"/>
            <c:invertIfNegative val="0"/>
            <c:bubble3D val="0"/>
            <c:spPr>
              <a:solidFill>
                <a:schemeClr val="accent4"/>
              </a:solidFill>
              <a:ln>
                <a:noFill/>
              </a:ln>
              <a:effectLst/>
            </c:spPr>
            <c:extLst>
              <c:ext xmlns:c16="http://schemas.microsoft.com/office/drawing/2014/chart" uri="{C3380CC4-5D6E-409C-BE32-E72D297353CC}">
                <c16:uniqueId val="{0000000F-92A4-A349-9798-7B39BC6ED7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Seniority!$A$4:$A$16</c:f>
              <c:strCache>
                <c:ptCount val="12"/>
                <c:pt idx="0">
                  <c:v>Director</c:v>
                </c:pt>
                <c:pt idx="1">
                  <c:v>C-suite</c:v>
                </c:pt>
                <c:pt idx="2">
                  <c:v>Manager</c:v>
                </c:pt>
                <c:pt idx="3">
                  <c:v>Other</c:v>
                </c:pt>
                <c:pt idx="4">
                  <c:v>Senior</c:v>
                </c:pt>
                <c:pt idx="5">
                  <c:v>Vice President</c:v>
                </c:pt>
                <c:pt idx="6">
                  <c:v>Head of Department</c:v>
                </c:pt>
                <c:pt idx="7">
                  <c:v>Not mentioned</c:v>
                </c:pt>
                <c:pt idx="8">
                  <c:v>Principal</c:v>
                </c:pt>
                <c:pt idx="9">
                  <c:v>Executive</c:v>
                </c:pt>
                <c:pt idx="10">
                  <c:v>Associate</c:v>
                </c:pt>
                <c:pt idx="11">
                  <c:v>Founder</c:v>
                </c:pt>
              </c:strCache>
            </c:strRef>
          </c:cat>
          <c:val>
            <c:numRef>
              <c:f>Seniority!$B$4:$B$16</c:f>
              <c:numCache>
                <c:formatCode>General</c:formatCode>
                <c:ptCount val="12"/>
                <c:pt idx="0">
                  <c:v>143</c:v>
                </c:pt>
                <c:pt idx="1">
                  <c:v>129</c:v>
                </c:pt>
                <c:pt idx="2">
                  <c:v>107</c:v>
                </c:pt>
                <c:pt idx="3">
                  <c:v>91</c:v>
                </c:pt>
                <c:pt idx="4">
                  <c:v>78</c:v>
                </c:pt>
                <c:pt idx="5">
                  <c:v>67</c:v>
                </c:pt>
                <c:pt idx="6">
                  <c:v>37</c:v>
                </c:pt>
                <c:pt idx="7">
                  <c:v>34</c:v>
                </c:pt>
                <c:pt idx="8">
                  <c:v>15</c:v>
                </c:pt>
                <c:pt idx="9">
                  <c:v>13</c:v>
                </c:pt>
                <c:pt idx="10">
                  <c:v>12</c:v>
                </c:pt>
                <c:pt idx="11">
                  <c:v>6</c:v>
                </c:pt>
              </c:numCache>
            </c:numRef>
          </c:val>
          <c:extLst>
            <c:ext xmlns:c16="http://schemas.microsoft.com/office/drawing/2014/chart" uri="{C3380CC4-5D6E-409C-BE32-E72D297353CC}">
              <c16:uniqueId val="{0000000E-8A5F-2747-B1D1-8964DE1850CE}"/>
            </c:ext>
          </c:extLst>
        </c:ser>
        <c:dLbls>
          <c:showLegendKey val="0"/>
          <c:showVal val="0"/>
          <c:showCatName val="0"/>
          <c:showSerName val="0"/>
          <c:showPercent val="0"/>
          <c:showBubbleSize val="0"/>
        </c:dLbls>
        <c:gapWidth val="219"/>
        <c:overlap val="-27"/>
        <c:axId val="1022465759"/>
        <c:axId val="1031074879"/>
      </c:barChart>
      <c:catAx>
        <c:axId val="102246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074879"/>
        <c:crosses val="autoZero"/>
        <c:auto val="1"/>
        <c:lblAlgn val="ctr"/>
        <c:lblOffset val="100"/>
        <c:noMultiLvlLbl val="0"/>
      </c:catAx>
      <c:valAx>
        <c:axId val="1031074879"/>
        <c:scaling>
          <c:orientation val="minMax"/>
        </c:scaling>
        <c:delete val="1"/>
        <c:axPos val="l"/>
        <c:numFmt formatCode="General" sourceLinked="1"/>
        <c:majorTickMark val="none"/>
        <c:minorTickMark val="none"/>
        <c:tickLblPos val="nextTo"/>
        <c:crossAx val="102246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[Email Campaign &amp; Audience Analysis Dashboard copy.xlsx]Subscriber growth!PivotTable2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i="0" u="none" strike="noStrike" kern="1200" spc="0" baseline="0">
                <a:solidFill>
                  <a:schemeClr val="tx1"/>
                </a:solidFill>
              </a:rPr>
              <a:t>Subscriber growth over time </a:t>
            </a:r>
          </a:p>
          <a:p>
            <a:pPr>
              <a:defRPr/>
            </a:pPr>
            <a:r>
              <a:rPr lang="en-GB" sz="1400" b="0" i="1" u="none" strike="noStrike" kern="1200" spc="0" baseline="0">
                <a:solidFill>
                  <a:sysClr val="windowText" lastClr="000000">
                    <a:lumMod val="65000"/>
                    <a:lumOff val="35000"/>
                  </a:sysClr>
                </a:solidFill>
              </a:rPr>
              <a:t>(Email Marketing List Trends)</a:t>
            </a:r>
            <a:endParaRPr lang="en-US" sz="1400" b="0" i="1"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411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411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'Subscriber growth'!$B$3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'Subscriber growth'!$A$4:$A$8</c:f>
              <c:strCache>
                <c:ptCount val="5"/>
                <c:pt idx="0">
                  <c:v>2017</c:v>
                </c:pt>
                <c:pt idx="1">
                  <c:v>2018</c:v>
                </c:pt>
                <c:pt idx="2">
                  <c:v>2019</c:v>
                </c:pt>
                <c:pt idx="3">
                  <c:v>2020</c:v>
                </c:pt>
                <c:pt idx="4">
                  <c:v>2022</c:v>
                </c:pt>
              </c:strCache>
            </c:strRef>
          </c:cat>
          <c:val>
            <c:numRef>
              <c:f>'Subscriber growth'!$B$4:$B$8</c:f>
              <c:numCache>
                <c:formatCode>General</c:formatCode>
                <c:ptCount val="5"/>
                <c:pt idx="0">
                  <c:v>29</c:v>
                </c:pt>
                <c:pt idx="1">
                  <c:v>67</c:v>
                </c:pt>
                <c:pt idx="2">
                  <c:v>228</c:v>
                </c:pt>
                <c:pt idx="3">
                  <c:v>341</c:v>
                </c:pt>
                <c:pt idx="4">
                  <c:v>732</c:v>
                </c:pt>
              </c:numCache>
            </c:numRef>
          </c:val>
          <c:extLst>
            <c:ext xmlns:c16="http://schemas.microsoft.com/office/drawing/2014/chart" uri="{C3380CC4-5D6E-409C-BE32-E72D297353CC}">
              <c16:uniqueId val="{00000001-67D0-4940-AB74-D971F3631927}"/>
            </c:ext>
          </c:extLst>
        </c:ser>
        <c:dLbls>
          <c:dLblPos val="outEnd"/>
          <c:showLegendKey val="0"/>
          <c:showVal val="1"/>
          <c:showCatName val="0"/>
          <c:showSerName val="0"/>
          <c:showPercent val="0"/>
          <c:showBubbleSize val="0"/>
        </c:dLbls>
        <c:gapWidth val="219"/>
        <c:overlap val="-27"/>
        <c:axId val="1852310368"/>
        <c:axId val="1722062448"/>
      </c:barChart>
      <c:catAx>
        <c:axId val="185231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062448"/>
        <c:crosses val="autoZero"/>
        <c:auto val="1"/>
        <c:lblAlgn val="ctr"/>
        <c:lblOffset val="100"/>
        <c:noMultiLvlLbl val="0"/>
      </c:catAx>
      <c:valAx>
        <c:axId val="1722062448"/>
        <c:scaling>
          <c:orientation val="minMax"/>
        </c:scaling>
        <c:delete val="1"/>
        <c:axPos val="l"/>
        <c:numFmt formatCode="General" sourceLinked="1"/>
        <c:majorTickMark val="out"/>
        <c:minorTickMark val="none"/>
        <c:tickLblPos val="nextTo"/>
        <c:crossAx val="185231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[Email Campaign &amp; Audience Analysis Dashboard copy.xlsx]Sector!PivotTable2</c:name>
    <c:fmtId val="67"/>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GB" sz="1600" b="1" i="0" u="none" strike="noStrike" baseline="0"/>
              <a:t>Biotechnology represents a minority </a:t>
            </a:r>
          </a:p>
          <a:p>
            <a:pPr>
              <a:defRPr>
                <a:solidFill>
                  <a:schemeClr val="tx1"/>
                </a:solidFill>
              </a:defRPr>
            </a:pPr>
            <a:r>
              <a:rPr lang="en-GB" sz="1600" b="1" i="0" u="none" strike="noStrike" baseline="0"/>
              <a:t>of the audience</a:t>
            </a:r>
            <a:endParaRPr lang="en-US" sz="1600" b="0">
              <a:solidFill>
                <a:schemeClr val="tx1"/>
              </a:solidFill>
            </a:endParaRPr>
          </a:p>
        </c:rich>
      </c:tx>
      <c:layout>
        <c:manualLayout>
          <c:xMode val="edge"/>
          <c:yMode val="edge"/>
          <c:x val="0.14352212846671061"/>
          <c:y val="2.636691234262156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C000"/>
          </a:solidFill>
          <a:ln>
            <a:noFill/>
          </a:ln>
          <a:effectLst>
            <a:outerShdw blurRad="317500" algn="ctr" rotWithShape="0">
              <a:prstClr val="black">
                <a:alpha val="25000"/>
              </a:prstClr>
            </a:outerShdw>
          </a:effectLst>
        </c:spPr>
      </c:pivotFmt>
      <c:pivotFmt>
        <c:idx val="2"/>
        <c:spPr>
          <a:solidFill>
            <a:schemeClr val="bg1">
              <a:lumMod val="75000"/>
            </a:schemeClr>
          </a:solidFill>
          <a:ln>
            <a:noFill/>
          </a:ln>
          <a:effectLst>
            <a:outerShdw blurRad="317500" algn="ctr" rotWithShape="0">
              <a:prstClr val="black">
                <a:alpha val="25000"/>
              </a:prstClr>
            </a:outerShdw>
          </a:effectLst>
        </c:spPr>
      </c:pivotFmt>
      <c:pivotFmt>
        <c:idx val="3"/>
        <c:spPr>
          <a:solidFill>
            <a:schemeClr val="accent4">
              <a:lumMod val="75000"/>
            </a:schemeClr>
          </a:solidFill>
          <a:ln>
            <a:noFill/>
          </a:ln>
          <a:effectLst>
            <a:outerShdw blurRad="317500" algn="ctr" rotWithShape="0">
              <a:prstClr val="black">
                <a:alpha val="25000"/>
              </a:prstClr>
            </a:outerShdw>
          </a:effectLst>
        </c:spPr>
      </c:pivotFmt>
      <c:pivotFmt>
        <c:idx val="4"/>
        <c:spPr>
          <a:solidFill>
            <a:srgbClr val="FF654D"/>
          </a:solidFill>
          <a:ln>
            <a:noFill/>
          </a:ln>
          <a:effectLst>
            <a:outerShdw blurRad="317500" algn="ctr" rotWithShape="0">
              <a:prstClr val="black">
                <a:alpha val="25000"/>
              </a:prstClr>
            </a:outerShdw>
          </a:effectLst>
        </c:spPr>
      </c:pivotFmt>
      <c:pivotFmt>
        <c:idx val="5"/>
        <c:spPr>
          <a:solidFill>
            <a:srgbClr val="7030A0"/>
          </a:solidFill>
          <a:ln>
            <a:noFill/>
          </a:ln>
          <a:effectLst>
            <a:outerShdw blurRad="317500" algn="ctr" rotWithShape="0">
              <a:prstClr val="black">
                <a:alpha val="25000"/>
              </a:prstClr>
            </a:outerShdw>
          </a:effectLst>
        </c:spPr>
      </c:pivotFmt>
      <c:pivotFmt>
        <c:idx val="6"/>
        <c:spPr>
          <a:solidFill>
            <a:schemeClr val="accent6">
              <a:lumMod val="60000"/>
              <a:lumOff val="40000"/>
            </a:schemeClr>
          </a:solidFill>
          <a:ln>
            <a:noFill/>
          </a:ln>
          <a:effectLst>
            <a:outerShdw blurRad="317500" algn="ctr" rotWithShape="0">
              <a:prstClr val="black">
                <a:alpha val="25000"/>
              </a:prstClr>
            </a:outerShdw>
          </a:effectLst>
        </c:spPr>
      </c:pivotFmt>
      <c:pivotFmt>
        <c:idx val="7"/>
        <c:spPr>
          <a:solidFill>
            <a:srgbClr val="00B050"/>
          </a:solidFill>
          <a:ln>
            <a:noFill/>
          </a:ln>
          <a:effectLst>
            <a:outerShdw blurRad="317500" algn="ctr" rotWithShape="0">
              <a:prstClr val="black">
                <a:alpha val="25000"/>
              </a:prstClr>
            </a:outerShdw>
          </a:effectLst>
        </c:spPr>
      </c:pivotFmt>
      <c:pivotFmt>
        <c:idx val="8"/>
        <c:spPr>
          <a:solidFill>
            <a:schemeClr val="accent5">
              <a:lumMod val="60000"/>
              <a:lumOff val="40000"/>
            </a:schemeClr>
          </a:solidFill>
          <a:ln>
            <a:noFill/>
          </a:ln>
          <a:effectLst>
            <a:outerShdw blurRad="317500" algn="ctr" rotWithShape="0">
              <a:prstClr val="black">
                <a:alpha val="25000"/>
              </a:prstClr>
            </a:outerShdw>
          </a:effectLst>
        </c:spPr>
      </c:pivotFmt>
      <c:pivotFmt>
        <c:idx val="9"/>
        <c:spPr>
          <a:solidFill>
            <a:schemeClr val="accent2">
              <a:lumMod val="75000"/>
            </a:schemeClr>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a:outerShdw blurRad="317500" algn="ctr" rotWithShape="0">
              <a:prstClr val="black">
                <a:alpha val="25000"/>
              </a:prstClr>
            </a:outerShdw>
          </a:effectLst>
        </c:spPr>
      </c:pivotFmt>
      <c:pivotFmt>
        <c:idx val="12"/>
        <c:spPr>
          <a:solidFill>
            <a:srgbClr val="00B050"/>
          </a:solidFill>
          <a:ln>
            <a:noFill/>
          </a:ln>
          <a:effectLst>
            <a:outerShdw blurRad="317500" algn="ctr" rotWithShape="0">
              <a:prstClr val="black">
                <a:alpha val="25000"/>
              </a:prstClr>
            </a:outerShdw>
          </a:effectLst>
        </c:spPr>
      </c:pivotFmt>
      <c:pivotFmt>
        <c:idx val="13"/>
        <c:spPr>
          <a:solidFill>
            <a:srgbClr val="FFC000"/>
          </a:solidFill>
          <a:ln>
            <a:noFill/>
          </a:ln>
          <a:effectLst>
            <a:outerShdw blurRad="317500" algn="ctr" rotWithShape="0">
              <a:prstClr val="black">
                <a:alpha val="25000"/>
              </a:prstClr>
            </a:outerShdw>
          </a:effectLst>
        </c:spPr>
      </c:pivotFmt>
      <c:pivotFmt>
        <c:idx val="14"/>
        <c:spPr>
          <a:solidFill>
            <a:schemeClr val="accent2">
              <a:lumMod val="75000"/>
            </a:schemeClr>
          </a:solidFill>
          <a:ln>
            <a:noFill/>
          </a:ln>
          <a:effectLst>
            <a:outerShdw blurRad="317500" algn="ctr" rotWithShape="0">
              <a:prstClr val="black">
                <a:alpha val="25000"/>
              </a:prstClr>
            </a:outerShdw>
          </a:effectLst>
        </c:spPr>
      </c:pivotFmt>
      <c:pivotFmt>
        <c:idx val="15"/>
        <c:spPr>
          <a:solidFill>
            <a:schemeClr val="accent4">
              <a:lumMod val="75000"/>
            </a:schemeClr>
          </a:solidFill>
          <a:ln>
            <a:noFill/>
          </a:ln>
          <a:effectLst>
            <a:outerShdw blurRad="317500" algn="ctr" rotWithShape="0">
              <a:prstClr val="black">
                <a:alpha val="25000"/>
              </a:prstClr>
            </a:outerShdw>
          </a:effectLst>
        </c:spPr>
      </c:pivotFmt>
      <c:pivotFmt>
        <c:idx val="16"/>
        <c:spPr>
          <a:solidFill>
            <a:schemeClr val="accent5">
              <a:lumMod val="60000"/>
              <a:lumOff val="40000"/>
            </a:schemeClr>
          </a:solidFill>
          <a:ln>
            <a:noFill/>
          </a:ln>
          <a:effectLst>
            <a:outerShdw blurRad="317500" algn="ctr" rotWithShape="0">
              <a:prstClr val="black">
                <a:alpha val="25000"/>
              </a:prstClr>
            </a:outerShdw>
          </a:effectLst>
        </c:spPr>
      </c:pivotFmt>
      <c:pivotFmt>
        <c:idx val="17"/>
        <c:spPr>
          <a:solidFill>
            <a:srgbClr val="FF654D"/>
          </a:solidFill>
          <a:ln>
            <a:noFill/>
          </a:ln>
          <a:effectLst>
            <a:outerShdw blurRad="317500" algn="ctr" rotWithShape="0">
              <a:prstClr val="black">
                <a:alpha val="25000"/>
              </a:prstClr>
            </a:outerShdw>
          </a:effectLst>
        </c:spPr>
      </c:pivotFmt>
      <c:pivotFmt>
        <c:idx val="18"/>
        <c:spPr>
          <a:solidFill>
            <a:srgbClr val="7030A0"/>
          </a:solidFill>
          <a:ln>
            <a:noFill/>
          </a:ln>
          <a:effectLst>
            <a:outerShdw blurRad="317500" algn="ctr" rotWithShape="0">
              <a:prstClr val="black">
                <a:alpha val="25000"/>
              </a:prstClr>
            </a:outerShdw>
          </a:effectLst>
        </c:spPr>
      </c:pivotFmt>
      <c:pivotFmt>
        <c:idx val="19"/>
        <c:spPr>
          <a:solidFill>
            <a:schemeClr val="bg1">
              <a:lumMod val="75000"/>
            </a:schemeClr>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a:outerShdw blurRad="317500" algn="ctr" rotWithShape="0">
              <a:prstClr val="black">
                <a:alpha val="25000"/>
              </a:prstClr>
            </a:outerShdw>
          </a:effectLst>
        </c:spPr>
      </c:pivotFmt>
      <c:pivotFmt>
        <c:idx val="22"/>
        <c:spPr>
          <a:solidFill>
            <a:srgbClr val="00B050"/>
          </a:solidFill>
          <a:ln>
            <a:noFill/>
          </a:ln>
          <a:effectLst>
            <a:outerShdw blurRad="317500" algn="ctr" rotWithShape="0">
              <a:prstClr val="black">
                <a:alpha val="25000"/>
              </a:prstClr>
            </a:outerShdw>
          </a:effectLst>
        </c:spPr>
      </c:pivotFmt>
      <c:pivotFmt>
        <c:idx val="23"/>
        <c:spPr>
          <a:solidFill>
            <a:srgbClr val="941100"/>
          </a:solidFill>
          <a:ln>
            <a:noFill/>
          </a:ln>
          <a:effectLst>
            <a:outerShdw blurRad="317500" algn="ctr" rotWithShape="0">
              <a:prstClr val="black">
                <a:alpha val="25000"/>
              </a:prstClr>
            </a:outerShdw>
          </a:effectLst>
        </c:spPr>
      </c:pivotFmt>
      <c:pivotFmt>
        <c:idx val="24"/>
        <c:spPr>
          <a:solidFill>
            <a:schemeClr val="accent2">
              <a:lumMod val="75000"/>
            </a:schemeClr>
          </a:solidFill>
          <a:ln>
            <a:noFill/>
          </a:ln>
          <a:effectLst>
            <a:outerShdw blurRad="317500" algn="ctr" rotWithShape="0">
              <a:prstClr val="black">
                <a:alpha val="25000"/>
              </a:prstClr>
            </a:outerShdw>
          </a:effectLst>
        </c:spPr>
      </c:pivotFmt>
      <c:pivotFmt>
        <c:idx val="25"/>
        <c:spPr>
          <a:solidFill>
            <a:schemeClr val="accent4">
              <a:lumMod val="60000"/>
              <a:lumOff val="40000"/>
            </a:schemeClr>
          </a:solidFill>
          <a:ln>
            <a:noFill/>
          </a:ln>
          <a:effectLst>
            <a:outerShdw blurRad="317500" algn="ctr" rotWithShape="0">
              <a:prstClr val="black">
                <a:alpha val="25000"/>
              </a:prstClr>
            </a:outerShdw>
          </a:effectLst>
        </c:spPr>
      </c:pivotFmt>
      <c:pivotFmt>
        <c:idx val="26"/>
        <c:spPr>
          <a:solidFill>
            <a:schemeClr val="accent5">
              <a:lumMod val="60000"/>
              <a:lumOff val="40000"/>
            </a:schemeClr>
          </a:solidFill>
          <a:ln>
            <a:noFill/>
          </a:ln>
          <a:effectLst>
            <a:outerShdw blurRad="317500" algn="ctr" rotWithShape="0">
              <a:prstClr val="black">
                <a:alpha val="25000"/>
              </a:prstClr>
            </a:outerShdw>
          </a:effectLst>
        </c:spPr>
      </c:pivotFmt>
      <c:pivotFmt>
        <c:idx val="27"/>
        <c:spPr>
          <a:solidFill>
            <a:srgbClr val="FF654D"/>
          </a:solidFill>
          <a:ln>
            <a:noFill/>
          </a:ln>
          <a:effectLst>
            <a:outerShdw blurRad="317500" algn="ctr" rotWithShape="0">
              <a:prstClr val="black">
                <a:alpha val="25000"/>
              </a:prstClr>
            </a:outerShdw>
          </a:effectLst>
        </c:spPr>
      </c:pivotFmt>
      <c:pivotFmt>
        <c:idx val="28"/>
        <c:spPr>
          <a:solidFill>
            <a:srgbClr val="7030A0"/>
          </a:solidFill>
          <a:ln>
            <a:noFill/>
          </a:ln>
          <a:effectLst>
            <a:outerShdw blurRad="317500" algn="ctr" rotWithShape="0">
              <a:prstClr val="black">
                <a:alpha val="25000"/>
              </a:prstClr>
            </a:outerShdw>
          </a:effectLst>
        </c:spPr>
      </c:pivotFmt>
      <c:pivotFmt>
        <c:idx val="29"/>
        <c:spPr>
          <a:solidFill>
            <a:schemeClr val="bg1">
              <a:lumMod val="75000"/>
            </a:schemeClr>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6">
              <a:lumMod val="60000"/>
              <a:lumOff val="40000"/>
            </a:schemeClr>
          </a:solidFill>
          <a:ln>
            <a:noFill/>
          </a:ln>
          <a:effectLst>
            <a:outerShdw blurRad="317500" algn="ctr" rotWithShape="0">
              <a:prstClr val="black">
                <a:alpha val="25000"/>
              </a:prstClr>
            </a:outerShdw>
          </a:effectLst>
        </c:spPr>
      </c:pivotFmt>
      <c:pivotFmt>
        <c:idx val="32"/>
        <c:spPr>
          <a:solidFill>
            <a:srgbClr val="00B050"/>
          </a:solidFill>
          <a:ln>
            <a:noFill/>
          </a:ln>
          <a:effectLst>
            <a:outerShdw blurRad="317500" algn="ctr" rotWithShape="0">
              <a:prstClr val="black">
                <a:alpha val="25000"/>
              </a:prstClr>
            </a:outerShdw>
          </a:effectLst>
        </c:spPr>
      </c:pivotFmt>
      <c:pivotFmt>
        <c:idx val="33"/>
        <c:spPr>
          <a:solidFill>
            <a:srgbClr val="941100"/>
          </a:solidFill>
          <a:ln>
            <a:noFill/>
          </a:ln>
          <a:effectLst>
            <a:outerShdw blurRad="317500" algn="ctr" rotWithShape="0">
              <a:prstClr val="black">
                <a:alpha val="25000"/>
              </a:prstClr>
            </a:outerShdw>
          </a:effectLst>
        </c:spPr>
      </c:pivotFmt>
      <c:pivotFmt>
        <c:idx val="34"/>
        <c:spPr>
          <a:solidFill>
            <a:schemeClr val="accent2">
              <a:lumMod val="75000"/>
            </a:schemeClr>
          </a:solidFill>
          <a:ln>
            <a:noFill/>
          </a:ln>
          <a:effectLst>
            <a:outerShdw blurRad="317500" algn="ctr" rotWithShape="0">
              <a:prstClr val="black">
                <a:alpha val="25000"/>
              </a:prstClr>
            </a:outerShdw>
          </a:effectLst>
        </c:spPr>
      </c:pivotFmt>
      <c:pivotFmt>
        <c:idx val="35"/>
        <c:spPr>
          <a:solidFill>
            <a:schemeClr val="accent4">
              <a:lumMod val="60000"/>
              <a:lumOff val="40000"/>
            </a:schemeClr>
          </a:solidFill>
          <a:ln>
            <a:noFill/>
          </a:ln>
          <a:effectLst>
            <a:outerShdw blurRad="317500" algn="ctr" rotWithShape="0">
              <a:prstClr val="black">
                <a:alpha val="25000"/>
              </a:prstClr>
            </a:outerShdw>
          </a:effectLst>
        </c:spPr>
      </c:pivotFmt>
      <c:pivotFmt>
        <c:idx val="36"/>
        <c:spPr>
          <a:solidFill>
            <a:schemeClr val="accent5">
              <a:lumMod val="60000"/>
              <a:lumOff val="40000"/>
            </a:schemeClr>
          </a:solidFill>
          <a:ln>
            <a:noFill/>
          </a:ln>
          <a:effectLst>
            <a:outerShdw blurRad="317500" algn="ctr" rotWithShape="0">
              <a:prstClr val="black">
                <a:alpha val="25000"/>
              </a:prstClr>
            </a:outerShdw>
          </a:effectLst>
        </c:spPr>
      </c:pivotFmt>
      <c:pivotFmt>
        <c:idx val="37"/>
        <c:spPr>
          <a:solidFill>
            <a:srgbClr val="FF654D"/>
          </a:solidFill>
          <a:ln>
            <a:noFill/>
          </a:ln>
          <a:effectLst>
            <a:outerShdw blurRad="317500" algn="ctr" rotWithShape="0">
              <a:prstClr val="black">
                <a:alpha val="25000"/>
              </a:prstClr>
            </a:outerShdw>
          </a:effectLst>
        </c:spPr>
      </c:pivotFmt>
      <c:pivotFmt>
        <c:idx val="38"/>
        <c:spPr>
          <a:solidFill>
            <a:srgbClr val="7030A0"/>
          </a:solidFill>
          <a:ln>
            <a:noFill/>
          </a:ln>
          <a:effectLst>
            <a:outerShdw blurRad="317500" algn="ctr" rotWithShape="0">
              <a:prstClr val="black">
                <a:alpha val="25000"/>
              </a:prstClr>
            </a:outerShdw>
          </a:effectLst>
        </c:spPr>
      </c:pivotFmt>
      <c:pivotFmt>
        <c:idx val="39"/>
        <c:spPr>
          <a:solidFill>
            <a:schemeClr val="bg1">
              <a:lumMod val="75000"/>
            </a:schemeClr>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lumMod val="60000"/>
              <a:lumOff val="40000"/>
            </a:schemeClr>
          </a:solidFill>
          <a:ln>
            <a:noFill/>
          </a:ln>
          <a:effectLst>
            <a:outerShdw blurRad="317500" algn="ctr" rotWithShape="0">
              <a:prstClr val="black">
                <a:alpha val="25000"/>
              </a:prstClr>
            </a:outerShdw>
          </a:effectLst>
        </c:spPr>
      </c:pivotFmt>
      <c:pivotFmt>
        <c:idx val="42"/>
        <c:spPr>
          <a:solidFill>
            <a:srgbClr val="00B050"/>
          </a:solidFill>
          <a:ln>
            <a:noFill/>
          </a:ln>
          <a:effectLst>
            <a:outerShdw blurRad="317500" algn="ctr" rotWithShape="0">
              <a:prstClr val="black">
                <a:alpha val="25000"/>
              </a:prstClr>
            </a:outerShdw>
          </a:effectLst>
        </c:spPr>
      </c:pivotFmt>
      <c:pivotFmt>
        <c:idx val="43"/>
        <c:spPr>
          <a:solidFill>
            <a:srgbClr val="941100"/>
          </a:solidFill>
          <a:ln>
            <a:noFill/>
          </a:ln>
          <a:effectLst>
            <a:outerShdw blurRad="317500" algn="ctr" rotWithShape="0">
              <a:prstClr val="black">
                <a:alpha val="25000"/>
              </a:prstClr>
            </a:outerShdw>
          </a:effectLst>
        </c:spPr>
      </c:pivotFmt>
      <c:pivotFmt>
        <c:idx val="44"/>
        <c:spPr>
          <a:solidFill>
            <a:schemeClr val="accent2">
              <a:lumMod val="75000"/>
            </a:schemeClr>
          </a:solidFill>
          <a:ln>
            <a:noFill/>
          </a:ln>
          <a:effectLst>
            <a:outerShdw blurRad="317500" algn="ctr" rotWithShape="0">
              <a:prstClr val="black">
                <a:alpha val="25000"/>
              </a:prstClr>
            </a:outerShdw>
          </a:effectLst>
        </c:spPr>
      </c:pivotFmt>
      <c:pivotFmt>
        <c:idx val="45"/>
        <c:spPr>
          <a:solidFill>
            <a:schemeClr val="accent4">
              <a:lumMod val="60000"/>
              <a:lumOff val="40000"/>
            </a:schemeClr>
          </a:solidFill>
          <a:ln>
            <a:noFill/>
          </a:ln>
          <a:effectLst>
            <a:outerShdw blurRad="317500" algn="ctr" rotWithShape="0">
              <a:prstClr val="black">
                <a:alpha val="25000"/>
              </a:prstClr>
            </a:outerShdw>
          </a:effectLst>
        </c:spPr>
      </c:pivotFmt>
      <c:pivotFmt>
        <c:idx val="46"/>
        <c:spPr>
          <a:solidFill>
            <a:schemeClr val="accent5">
              <a:lumMod val="60000"/>
              <a:lumOff val="40000"/>
            </a:schemeClr>
          </a:solidFill>
          <a:ln>
            <a:noFill/>
          </a:ln>
          <a:effectLst>
            <a:outerShdw blurRad="317500" algn="ctr" rotWithShape="0">
              <a:prstClr val="black">
                <a:alpha val="25000"/>
              </a:prstClr>
            </a:outerShdw>
          </a:effectLst>
        </c:spPr>
      </c:pivotFmt>
      <c:pivotFmt>
        <c:idx val="47"/>
        <c:spPr>
          <a:solidFill>
            <a:srgbClr val="FF654D"/>
          </a:solidFill>
          <a:ln>
            <a:noFill/>
          </a:ln>
          <a:effectLst>
            <a:outerShdw blurRad="317500" algn="ctr" rotWithShape="0">
              <a:prstClr val="black">
                <a:alpha val="25000"/>
              </a:prstClr>
            </a:outerShdw>
          </a:effectLst>
        </c:spPr>
      </c:pivotFmt>
      <c:pivotFmt>
        <c:idx val="48"/>
        <c:spPr>
          <a:solidFill>
            <a:srgbClr val="7030A0"/>
          </a:solidFill>
          <a:ln>
            <a:noFill/>
          </a:ln>
          <a:effectLst>
            <a:outerShdw blurRad="317500" algn="ctr" rotWithShape="0">
              <a:prstClr val="black">
                <a:alpha val="25000"/>
              </a:prstClr>
            </a:outerShdw>
          </a:effectLst>
        </c:spPr>
      </c:pivotFmt>
      <c:pivotFmt>
        <c:idx val="49"/>
        <c:spPr>
          <a:solidFill>
            <a:schemeClr val="bg1">
              <a:lumMod val="75000"/>
            </a:schemeClr>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51"/>
        <c:spPr>
          <a:solidFill>
            <a:schemeClr val="accent2"/>
          </a:solidFill>
          <a:ln cmpd="sng">
            <a:noFill/>
          </a:ln>
          <a:effectLst>
            <a:glow>
              <a:schemeClr val="accent1">
                <a:alpha val="40000"/>
              </a:schemeClr>
            </a:glow>
          </a:effectLst>
          <a:scene3d>
            <a:camera prst="orthographicFront"/>
            <a:lightRig rig="threePt" dir="t"/>
          </a:scene3d>
          <a:sp3d prstMaterial="metal">
            <a:bevelT w="12700"/>
            <a:bevelB w="12700"/>
          </a:sp3d>
        </c:spPr>
      </c:pivotFmt>
      <c:pivotFmt>
        <c:idx val="52"/>
        <c:spPr>
          <a:solidFill>
            <a:schemeClr val="bg1">
              <a:lumMod val="95000"/>
            </a:schemeClr>
          </a:solidFill>
          <a:ln>
            <a:noFill/>
          </a:ln>
          <a:effectLst>
            <a:outerShdw blurRad="317500" algn="ctr" rotWithShape="0">
              <a:prstClr val="black">
                <a:alpha val="25000"/>
              </a:prstClr>
            </a:outerShdw>
          </a:effectLst>
        </c:spPr>
      </c:pivotFmt>
      <c:pivotFmt>
        <c:idx val="53"/>
        <c:spPr>
          <a:solidFill>
            <a:schemeClr val="bg1">
              <a:lumMod val="85000"/>
            </a:schemeClr>
          </a:solidFill>
          <a:ln>
            <a:noFill/>
          </a:ln>
          <a:effectLst>
            <a:outerShdw blurRad="317500" algn="ctr" rotWithShape="0">
              <a:prstClr val="black">
                <a:alpha val="25000"/>
              </a:prstClr>
            </a:outerShdw>
          </a:effectLst>
        </c:spPr>
      </c:pivotFmt>
      <c:pivotFmt>
        <c:idx val="54"/>
        <c:spPr>
          <a:solidFill>
            <a:srgbClr val="FFC000"/>
          </a:solidFill>
          <a:ln>
            <a:noFill/>
          </a:ln>
          <a:effectLst>
            <a:outerShdw blurRad="317500" algn="ctr" rotWithShape="0">
              <a:prstClr val="black">
                <a:alpha val="25000"/>
              </a:prstClr>
            </a:outerShdw>
          </a:effectLst>
        </c:spPr>
      </c:pivotFmt>
      <c:pivotFmt>
        <c:idx val="55"/>
        <c:spPr>
          <a:solidFill>
            <a:srgbClr val="C00000"/>
          </a:solidFill>
          <a:ln>
            <a:noFill/>
          </a:ln>
          <a:effectLst>
            <a:outerShdw blurRad="317500" algn="ctr" rotWithShape="0">
              <a:prstClr val="black">
                <a:alpha val="25000"/>
              </a:prstClr>
            </a:outerShdw>
          </a:effectLst>
        </c:spPr>
      </c:pivotFmt>
      <c:pivotFmt>
        <c:idx val="56"/>
        <c:spPr>
          <a:solidFill>
            <a:schemeClr val="accent5">
              <a:lumMod val="20000"/>
              <a:lumOff val="80000"/>
            </a:schemeClr>
          </a:solidFill>
          <a:ln>
            <a:noFill/>
          </a:ln>
          <a:effectLst>
            <a:outerShdw blurRad="317500" algn="ctr" rotWithShape="0">
              <a:prstClr val="black">
                <a:alpha val="25000"/>
              </a:prstClr>
            </a:outerShdw>
          </a:effectLst>
        </c:spPr>
      </c:pivotFmt>
      <c:pivotFmt>
        <c:idx val="57"/>
        <c:spPr>
          <a:solidFill>
            <a:schemeClr val="accent6">
              <a:lumMod val="75000"/>
            </a:schemeClr>
          </a:solidFill>
          <a:ln>
            <a:noFill/>
          </a:ln>
          <a:effectLst>
            <a:outerShdw blurRad="317500" algn="ctr" rotWithShape="0">
              <a:prstClr val="black">
                <a:alpha val="25000"/>
              </a:prstClr>
            </a:outerShdw>
          </a:effectLst>
        </c:spPr>
      </c:pivotFmt>
      <c:pivotFmt>
        <c:idx val="58"/>
        <c:spPr>
          <a:solidFill>
            <a:srgbClr val="F3D0EE"/>
          </a:solidFill>
          <a:ln>
            <a:noFill/>
          </a:ln>
          <a:effectLst>
            <a:outerShdw blurRad="317500" algn="ctr" rotWithShape="0">
              <a:prstClr val="black">
                <a:alpha val="25000"/>
              </a:prstClr>
            </a:outerShdw>
          </a:effectLst>
        </c:spPr>
      </c:pivotFmt>
      <c:pivotFmt>
        <c:idx val="59"/>
        <c:spPr>
          <a:solidFill>
            <a:schemeClr val="accent5">
              <a:lumMod val="75000"/>
            </a:schemeClr>
          </a:solidFill>
          <a:ln>
            <a:noFill/>
          </a:ln>
          <a:effectLst>
            <a:outerShdw blurRad="317500" algn="ctr" rotWithShape="0">
              <a:prstClr val="black">
                <a:alpha val="25000"/>
              </a:prstClr>
            </a:outerShdw>
          </a:effectLst>
        </c:spPr>
      </c:pivotFmt>
      <c:pivotFmt>
        <c:idx val="60"/>
        <c:spPr>
          <a:solidFill>
            <a:schemeClr val="accent4">
              <a:lumMod val="50000"/>
            </a:schemeClr>
          </a:solidFill>
          <a:ln>
            <a:noFill/>
          </a:ln>
          <a:effectLst>
            <a:outerShdw blurRad="317500" algn="ctr" rotWithShape="0">
              <a:prstClr val="black">
                <a:alpha val="25000"/>
              </a:prstClr>
            </a:outerShdw>
          </a:effectLst>
        </c:spPr>
      </c:pivotFmt>
      <c:pivotFmt>
        <c:idx val="6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62"/>
        <c:spPr>
          <a:solidFill>
            <a:srgbClr val="C00000"/>
          </a:solidFill>
          <a:ln>
            <a:noFill/>
          </a:ln>
          <a:effectLst>
            <a:outerShdw blurRad="317500" algn="ctr" rotWithShape="0">
              <a:prstClr val="black">
                <a:alpha val="25000"/>
              </a:prstClr>
            </a:outerShdw>
          </a:effectLst>
        </c:spPr>
      </c:pivotFmt>
      <c:pivotFmt>
        <c:idx val="63"/>
        <c:spPr>
          <a:solidFill>
            <a:srgbClr val="FFC000"/>
          </a:solidFill>
          <a:ln>
            <a:noFill/>
          </a:ln>
          <a:effectLst>
            <a:outerShdw blurRad="317500" algn="ctr" rotWithShape="0">
              <a:prstClr val="black">
                <a:alpha val="25000"/>
              </a:prstClr>
            </a:outerShdw>
          </a:effectLst>
        </c:spPr>
      </c:pivotFmt>
      <c:pivotFmt>
        <c:idx val="64"/>
        <c:spPr>
          <a:solidFill>
            <a:schemeClr val="accent2"/>
          </a:solidFill>
          <a:ln cmpd="sng">
            <a:noFill/>
          </a:ln>
          <a:effectLst>
            <a:glow>
              <a:schemeClr val="accent1">
                <a:alpha val="40000"/>
              </a:schemeClr>
            </a:glow>
          </a:effectLst>
          <a:scene3d>
            <a:camera prst="orthographicFront"/>
            <a:lightRig rig="threePt" dir="t"/>
          </a:scene3d>
          <a:sp3d prstMaterial="metal">
            <a:bevelT w="12700"/>
            <a:bevelB w="12700"/>
          </a:sp3d>
        </c:spPr>
      </c:pivotFmt>
      <c:pivotFmt>
        <c:idx val="65"/>
        <c:spPr>
          <a:solidFill>
            <a:schemeClr val="accent4">
              <a:lumMod val="50000"/>
            </a:schemeClr>
          </a:solidFill>
          <a:ln>
            <a:noFill/>
          </a:ln>
          <a:effectLst>
            <a:outerShdw blurRad="317500" algn="ctr" rotWithShape="0">
              <a:prstClr val="black">
                <a:alpha val="25000"/>
              </a:prstClr>
            </a:outerShdw>
          </a:effectLst>
        </c:spPr>
      </c:pivotFmt>
      <c:pivotFmt>
        <c:idx val="66"/>
        <c:spPr>
          <a:solidFill>
            <a:schemeClr val="accent5">
              <a:lumMod val="20000"/>
              <a:lumOff val="80000"/>
            </a:schemeClr>
          </a:solidFill>
          <a:ln>
            <a:noFill/>
          </a:ln>
          <a:effectLst>
            <a:outerShdw blurRad="317500" algn="ctr" rotWithShape="0">
              <a:prstClr val="black">
                <a:alpha val="25000"/>
              </a:prstClr>
            </a:outerShdw>
          </a:effectLst>
        </c:spPr>
      </c:pivotFmt>
      <c:pivotFmt>
        <c:idx val="67"/>
        <c:spPr>
          <a:solidFill>
            <a:schemeClr val="accent6">
              <a:lumMod val="75000"/>
            </a:schemeClr>
          </a:solidFill>
          <a:ln>
            <a:noFill/>
          </a:ln>
          <a:effectLst>
            <a:outerShdw blurRad="317500" algn="ctr" rotWithShape="0">
              <a:prstClr val="black">
                <a:alpha val="25000"/>
              </a:prstClr>
            </a:outerShdw>
          </a:effectLst>
        </c:spPr>
      </c:pivotFmt>
      <c:pivotFmt>
        <c:idx val="68"/>
        <c:spPr>
          <a:solidFill>
            <a:srgbClr val="F3D0EE"/>
          </a:solidFill>
          <a:ln>
            <a:noFill/>
          </a:ln>
          <a:effectLst>
            <a:outerShdw blurRad="317500" algn="ctr" rotWithShape="0">
              <a:prstClr val="black">
                <a:alpha val="25000"/>
              </a:prstClr>
            </a:outerShdw>
          </a:effectLst>
        </c:spPr>
      </c:pivotFmt>
      <c:pivotFmt>
        <c:idx val="69"/>
        <c:spPr>
          <a:solidFill>
            <a:schemeClr val="accent5">
              <a:lumMod val="75000"/>
            </a:schemeClr>
          </a:solidFill>
          <a:ln>
            <a:noFill/>
          </a:ln>
          <a:effectLst>
            <a:outerShdw blurRad="317500" algn="ctr" rotWithShape="0">
              <a:prstClr val="black">
                <a:alpha val="25000"/>
              </a:prstClr>
            </a:outerShdw>
          </a:effectLst>
        </c:spPr>
      </c:pivotFmt>
      <c:pivotFmt>
        <c:idx val="70"/>
        <c:spPr>
          <a:solidFill>
            <a:schemeClr val="bg1">
              <a:lumMod val="95000"/>
            </a:schemeClr>
          </a:solidFill>
          <a:ln>
            <a:noFill/>
          </a:ln>
          <a:effectLst>
            <a:outerShdw blurRad="317500" algn="ctr" rotWithShape="0">
              <a:prstClr val="black">
                <a:alpha val="25000"/>
              </a:prstClr>
            </a:outerShdw>
          </a:effectLst>
        </c:spPr>
      </c:pivotFmt>
      <c:pivotFmt>
        <c:idx val="71"/>
        <c:spPr>
          <a:solidFill>
            <a:schemeClr val="bg1">
              <a:lumMod val="85000"/>
            </a:schemeClr>
          </a:solidFill>
          <a:ln>
            <a:noFill/>
          </a:ln>
          <a:effectLst>
            <a:outerShdw blurRad="317500" algn="ctr" rotWithShape="0">
              <a:prstClr val="black">
                <a:alpha val="25000"/>
              </a:prstClr>
            </a:outerShdw>
          </a:effectLst>
        </c:spPr>
      </c:pivotFmt>
      <c:pivotFmt>
        <c:idx val="7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73"/>
        <c:spPr>
          <a:solidFill>
            <a:srgbClr val="EA6B63"/>
          </a:solidFill>
          <a:ln>
            <a:noFill/>
          </a:ln>
          <a:effectLst>
            <a:outerShdw blurRad="317500" algn="ctr" rotWithShape="0">
              <a:prstClr val="black">
                <a:alpha val="25000"/>
              </a:prstClr>
            </a:outerShdw>
          </a:effectLst>
        </c:spPr>
      </c:pivotFmt>
      <c:pivotFmt>
        <c:idx val="74"/>
        <c:spPr>
          <a:solidFill>
            <a:srgbClr val="FFC000"/>
          </a:solidFill>
          <a:ln>
            <a:noFill/>
          </a:ln>
          <a:effectLst>
            <a:outerShdw blurRad="317500" algn="ctr" rotWithShape="0">
              <a:prstClr val="black">
                <a:alpha val="25000"/>
              </a:prstClr>
            </a:outerShdw>
          </a:effectLst>
        </c:spPr>
      </c:pivotFmt>
      <c:pivotFmt>
        <c:idx val="75"/>
        <c:spPr>
          <a:solidFill>
            <a:srgbClr val="00B050"/>
          </a:solidFill>
          <a:ln cmpd="sng">
            <a:noFill/>
          </a:ln>
          <a:effectLst>
            <a:glow>
              <a:schemeClr val="accent1">
                <a:alpha val="40000"/>
              </a:schemeClr>
            </a:glow>
          </a:effectLst>
          <a:scene3d>
            <a:camera prst="orthographicFront"/>
            <a:lightRig rig="threePt" dir="t"/>
          </a:scene3d>
          <a:sp3d prstMaterial="metal">
            <a:bevelT w="12700"/>
            <a:bevelB w="12700"/>
          </a:sp3d>
        </c:spPr>
      </c:pivotFmt>
      <c:pivotFmt>
        <c:idx val="76"/>
        <c:spPr>
          <a:solidFill>
            <a:schemeClr val="accent4">
              <a:lumMod val="50000"/>
            </a:schemeClr>
          </a:solidFill>
          <a:ln>
            <a:noFill/>
          </a:ln>
          <a:effectLst>
            <a:outerShdw blurRad="317500" algn="ctr" rotWithShape="0">
              <a:prstClr val="black">
                <a:alpha val="25000"/>
              </a:prstClr>
            </a:outerShdw>
          </a:effectLst>
        </c:spPr>
      </c:pivotFmt>
      <c:pivotFmt>
        <c:idx val="77"/>
        <c:spPr>
          <a:solidFill>
            <a:schemeClr val="accent5">
              <a:lumMod val="20000"/>
              <a:lumOff val="80000"/>
            </a:schemeClr>
          </a:solidFill>
          <a:ln>
            <a:noFill/>
          </a:ln>
          <a:effectLst>
            <a:outerShdw blurRad="317500" algn="ctr" rotWithShape="0">
              <a:prstClr val="black">
                <a:alpha val="25000"/>
              </a:prstClr>
            </a:outerShdw>
          </a:effectLst>
        </c:spPr>
      </c:pivotFmt>
      <c:pivotFmt>
        <c:idx val="78"/>
        <c:spPr>
          <a:solidFill>
            <a:schemeClr val="accent6">
              <a:lumMod val="75000"/>
            </a:schemeClr>
          </a:solidFill>
          <a:ln>
            <a:noFill/>
          </a:ln>
          <a:effectLst>
            <a:outerShdw blurRad="317500" algn="ctr" rotWithShape="0">
              <a:prstClr val="black">
                <a:alpha val="25000"/>
              </a:prstClr>
            </a:outerShdw>
          </a:effectLst>
        </c:spPr>
      </c:pivotFmt>
      <c:pivotFmt>
        <c:idx val="79"/>
        <c:spPr>
          <a:solidFill>
            <a:srgbClr val="F3D0EE"/>
          </a:solidFill>
          <a:ln>
            <a:noFill/>
          </a:ln>
          <a:effectLst>
            <a:outerShdw blurRad="317500" algn="ctr" rotWithShape="0">
              <a:prstClr val="black">
                <a:alpha val="25000"/>
              </a:prstClr>
            </a:outerShdw>
          </a:effectLst>
        </c:spPr>
      </c:pivotFmt>
      <c:pivotFmt>
        <c:idx val="80"/>
        <c:spPr>
          <a:solidFill>
            <a:schemeClr val="accent5">
              <a:lumMod val="75000"/>
            </a:schemeClr>
          </a:solidFill>
          <a:ln>
            <a:noFill/>
          </a:ln>
          <a:effectLst>
            <a:outerShdw blurRad="317500" algn="ctr" rotWithShape="0">
              <a:prstClr val="black">
                <a:alpha val="25000"/>
              </a:prstClr>
            </a:outerShdw>
          </a:effectLst>
        </c:spPr>
      </c:pivotFmt>
      <c:pivotFmt>
        <c:idx val="81"/>
        <c:spPr>
          <a:solidFill>
            <a:schemeClr val="bg1">
              <a:lumMod val="95000"/>
            </a:schemeClr>
          </a:solidFill>
          <a:ln>
            <a:noFill/>
          </a:ln>
          <a:effectLst>
            <a:outerShdw blurRad="317500" algn="ctr" rotWithShape="0">
              <a:prstClr val="black">
                <a:alpha val="25000"/>
              </a:prstClr>
            </a:outerShdw>
          </a:effectLst>
        </c:spPr>
      </c:pivotFmt>
      <c:pivotFmt>
        <c:idx val="82"/>
        <c:spPr>
          <a:solidFill>
            <a:schemeClr val="bg1">
              <a:lumMod val="85000"/>
            </a:schemeClr>
          </a:solidFill>
          <a:ln>
            <a:noFill/>
          </a:ln>
          <a:effectLst>
            <a:outerShdw blurRad="317500" algn="ctr" rotWithShape="0">
              <a:prstClr val="black">
                <a:alpha val="25000"/>
              </a:prstClr>
            </a:outerShdw>
          </a:effectLst>
        </c:spPr>
      </c:pivotFmt>
      <c:pivotFmt>
        <c:idx val="8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84"/>
        <c:spPr>
          <a:solidFill>
            <a:srgbClr val="EA6B63"/>
          </a:solidFill>
          <a:ln>
            <a:noFill/>
          </a:ln>
          <a:effectLst>
            <a:outerShdw blurRad="317500" algn="ctr" rotWithShape="0">
              <a:prstClr val="black">
                <a:alpha val="25000"/>
              </a:prstClr>
            </a:outerShdw>
          </a:effectLst>
        </c:spPr>
      </c:pivotFmt>
      <c:pivotFmt>
        <c:idx val="85"/>
        <c:spPr>
          <a:solidFill>
            <a:srgbClr val="FFC000"/>
          </a:solidFill>
          <a:ln>
            <a:noFill/>
          </a:ln>
          <a:effectLst>
            <a:outerShdw blurRad="317500" algn="ctr" rotWithShape="0">
              <a:prstClr val="black">
                <a:alpha val="25000"/>
              </a:prstClr>
            </a:outerShdw>
          </a:effectLst>
        </c:spPr>
      </c:pivotFmt>
      <c:pivotFmt>
        <c:idx val="86"/>
        <c:spPr>
          <a:solidFill>
            <a:srgbClr val="00B050"/>
          </a:solidFill>
          <a:ln cmpd="sng">
            <a:noFill/>
          </a:ln>
          <a:effectLst>
            <a:glow>
              <a:schemeClr val="accent1">
                <a:alpha val="40000"/>
              </a:schemeClr>
            </a:glow>
          </a:effectLst>
          <a:scene3d>
            <a:camera prst="orthographicFront"/>
            <a:lightRig rig="threePt" dir="t"/>
          </a:scene3d>
          <a:sp3d prstMaterial="metal">
            <a:bevelT w="12700"/>
            <a:bevelB w="12700"/>
          </a:sp3d>
        </c:spPr>
      </c:pivotFmt>
      <c:pivotFmt>
        <c:idx val="87"/>
        <c:spPr>
          <a:solidFill>
            <a:schemeClr val="accent4">
              <a:lumMod val="50000"/>
            </a:schemeClr>
          </a:solidFill>
          <a:ln>
            <a:noFill/>
          </a:ln>
          <a:effectLst>
            <a:outerShdw blurRad="317500" algn="ctr" rotWithShape="0">
              <a:prstClr val="black">
                <a:alpha val="25000"/>
              </a:prstClr>
            </a:outerShdw>
          </a:effectLst>
        </c:spPr>
      </c:pivotFmt>
      <c:pivotFmt>
        <c:idx val="88"/>
        <c:spPr>
          <a:solidFill>
            <a:schemeClr val="accent5">
              <a:lumMod val="20000"/>
              <a:lumOff val="80000"/>
            </a:schemeClr>
          </a:solidFill>
          <a:ln>
            <a:noFill/>
          </a:ln>
          <a:effectLst>
            <a:outerShdw blurRad="317500" algn="ctr" rotWithShape="0">
              <a:prstClr val="black">
                <a:alpha val="25000"/>
              </a:prstClr>
            </a:outerShdw>
          </a:effectLst>
        </c:spPr>
      </c:pivotFmt>
      <c:pivotFmt>
        <c:idx val="89"/>
        <c:spPr>
          <a:solidFill>
            <a:schemeClr val="accent6">
              <a:lumMod val="75000"/>
            </a:schemeClr>
          </a:solidFill>
          <a:ln>
            <a:noFill/>
          </a:ln>
          <a:effectLst>
            <a:outerShdw blurRad="317500" algn="ctr" rotWithShape="0">
              <a:prstClr val="black">
                <a:alpha val="25000"/>
              </a:prstClr>
            </a:outerShdw>
          </a:effectLst>
        </c:spPr>
      </c:pivotFmt>
      <c:pivotFmt>
        <c:idx val="90"/>
        <c:spPr>
          <a:solidFill>
            <a:schemeClr val="accent1"/>
          </a:solidFill>
          <a:ln>
            <a:noFill/>
          </a:ln>
          <a:effectLst>
            <a:outerShdw blurRad="317500" algn="ctr" rotWithShape="0">
              <a:prstClr val="black">
                <a:alpha val="25000"/>
              </a:prstClr>
            </a:outerShdw>
          </a:effectLst>
        </c:spPr>
      </c:pivotFmt>
      <c:pivotFmt>
        <c:idx val="91"/>
        <c:spPr>
          <a:solidFill>
            <a:srgbClr val="F3D0EE"/>
          </a:solidFill>
          <a:ln>
            <a:noFill/>
          </a:ln>
          <a:effectLst>
            <a:outerShdw blurRad="317500" algn="ctr" rotWithShape="0">
              <a:prstClr val="black">
                <a:alpha val="25000"/>
              </a:prstClr>
            </a:outerShdw>
          </a:effectLst>
        </c:spPr>
      </c:pivotFmt>
      <c:pivotFmt>
        <c:idx val="92"/>
        <c:spPr>
          <a:solidFill>
            <a:schemeClr val="accent5">
              <a:lumMod val="75000"/>
            </a:schemeClr>
          </a:solidFill>
          <a:ln>
            <a:noFill/>
          </a:ln>
          <a:effectLst>
            <a:outerShdw blurRad="317500" algn="ctr" rotWithShape="0">
              <a:prstClr val="black">
                <a:alpha val="25000"/>
              </a:prstClr>
            </a:outerShdw>
          </a:effectLst>
        </c:spPr>
      </c:pivotFmt>
      <c:pivotFmt>
        <c:idx val="93"/>
        <c:spPr>
          <a:solidFill>
            <a:schemeClr val="accent1"/>
          </a:solidFill>
          <a:ln>
            <a:noFill/>
          </a:ln>
          <a:effectLst>
            <a:outerShdw blurRad="317500" algn="ctr" rotWithShape="0">
              <a:prstClr val="black">
                <a:alpha val="25000"/>
              </a:prstClr>
            </a:outerShdw>
          </a:effectLst>
        </c:spPr>
      </c:pivotFmt>
      <c:pivotFmt>
        <c:idx val="94"/>
        <c:spPr>
          <a:solidFill>
            <a:schemeClr val="bg1">
              <a:lumMod val="95000"/>
            </a:schemeClr>
          </a:solidFill>
          <a:ln>
            <a:noFill/>
          </a:ln>
          <a:effectLst>
            <a:outerShdw blurRad="317500" algn="ctr" rotWithShape="0">
              <a:prstClr val="black">
                <a:alpha val="25000"/>
              </a:prstClr>
            </a:outerShdw>
          </a:effectLst>
        </c:spPr>
      </c:pivotFmt>
      <c:pivotFmt>
        <c:idx val="95"/>
        <c:spPr>
          <a:solidFill>
            <a:schemeClr val="bg1">
              <a:lumMod val="85000"/>
            </a:schemeClr>
          </a:solidFill>
          <a:ln>
            <a:noFill/>
          </a:ln>
          <a:effectLst>
            <a:outerShdw blurRad="317500" algn="ctr" rotWithShape="0">
              <a:prstClr val="black">
                <a:alpha val="25000"/>
              </a:prstClr>
            </a:outerShdw>
          </a:effectLst>
        </c:spPr>
      </c:pivotFmt>
      <c:pivotFmt>
        <c:idx val="9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97"/>
        <c:spPr>
          <a:solidFill>
            <a:srgbClr val="EA6B63"/>
          </a:solidFill>
          <a:ln>
            <a:noFill/>
          </a:ln>
          <a:effectLst>
            <a:outerShdw blurRad="317500" algn="ctr" rotWithShape="0">
              <a:prstClr val="black">
                <a:alpha val="25000"/>
              </a:prstClr>
            </a:outerShdw>
          </a:effectLst>
        </c:spPr>
      </c:pivotFmt>
      <c:pivotFmt>
        <c:idx val="98"/>
        <c:spPr>
          <a:solidFill>
            <a:srgbClr val="FFC000"/>
          </a:solidFill>
          <a:ln>
            <a:noFill/>
          </a:ln>
          <a:effectLst>
            <a:outerShdw blurRad="317500" algn="ctr" rotWithShape="0">
              <a:prstClr val="black">
                <a:alpha val="25000"/>
              </a:prstClr>
            </a:outerShdw>
          </a:effectLst>
        </c:spPr>
      </c:pivotFmt>
      <c:pivotFmt>
        <c:idx val="99"/>
        <c:spPr>
          <a:solidFill>
            <a:srgbClr val="00B050"/>
          </a:solidFill>
          <a:ln cmpd="sng">
            <a:noFill/>
          </a:ln>
          <a:effectLst>
            <a:glow>
              <a:schemeClr val="accent1">
                <a:alpha val="40000"/>
              </a:schemeClr>
            </a:glow>
          </a:effectLst>
          <a:scene3d>
            <a:camera prst="orthographicFront"/>
            <a:lightRig rig="threePt" dir="t"/>
          </a:scene3d>
          <a:sp3d prstMaterial="metal">
            <a:bevelT w="12700"/>
            <a:bevelB w="12700"/>
          </a:sp3d>
        </c:spPr>
      </c:pivotFmt>
      <c:pivotFmt>
        <c:idx val="100"/>
        <c:spPr>
          <a:solidFill>
            <a:schemeClr val="accent4">
              <a:lumMod val="50000"/>
            </a:schemeClr>
          </a:solidFill>
          <a:ln>
            <a:noFill/>
          </a:ln>
          <a:effectLst>
            <a:outerShdw blurRad="317500" algn="ctr" rotWithShape="0">
              <a:prstClr val="black">
                <a:alpha val="25000"/>
              </a:prstClr>
            </a:outerShdw>
          </a:effectLst>
        </c:spPr>
      </c:pivotFmt>
      <c:pivotFmt>
        <c:idx val="101"/>
        <c:spPr>
          <a:solidFill>
            <a:schemeClr val="accent5">
              <a:lumMod val="20000"/>
              <a:lumOff val="80000"/>
            </a:schemeClr>
          </a:solidFill>
          <a:ln>
            <a:noFill/>
          </a:ln>
          <a:effectLst>
            <a:outerShdw blurRad="317500" algn="ctr" rotWithShape="0">
              <a:prstClr val="black">
                <a:alpha val="25000"/>
              </a:prstClr>
            </a:outerShdw>
          </a:effectLst>
        </c:spPr>
      </c:pivotFmt>
      <c:pivotFmt>
        <c:idx val="102"/>
        <c:spPr>
          <a:solidFill>
            <a:schemeClr val="accent6">
              <a:lumMod val="75000"/>
            </a:schemeClr>
          </a:solidFill>
          <a:ln>
            <a:noFill/>
          </a:ln>
          <a:effectLst>
            <a:outerShdw blurRad="317500" algn="ctr" rotWithShape="0">
              <a:prstClr val="black">
                <a:alpha val="25000"/>
              </a:prstClr>
            </a:outerShdw>
          </a:effectLst>
        </c:spPr>
      </c:pivotFmt>
      <c:pivotFmt>
        <c:idx val="103"/>
        <c:spPr>
          <a:solidFill>
            <a:schemeClr val="accent1"/>
          </a:solidFill>
          <a:ln>
            <a:noFill/>
          </a:ln>
          <a:effectLst>
            <a:outerShdw blurRad="317500" algn="ctr" rotWithShape="0">
              <a:prstClr val="black">
                <a:alpha val="25000"/>
              </a:prstClr>
            </a:outerShdw>
          </a:effectLst>
        </c:spPr>
      </c:pivotFmt>
      <c:pivotFmt>
        <c:idx val="104"/>
        <c:spPr>
          <a:solidFill>
            <a:srgbClr val="F3D0EE"/>
          </a:solidFill>
          <a:ln>
            <a:noFill/>
          </a:ln>
          <a:effectLst>
            <a:outerShdw blurRad="317500" algn="ctr" rotWithShape="0">
              <a:prstClr val="black">
                <a:alpha val="25000"/>
              </a:prstClr>
            </a:outerShdw>
          </a:effectLst>
        </c:spPr>
      </c:pivotFmt>
      <c:pivotFmt>
        <c:idx val="105"/>
        <c:spPr>
          <a:solidFill>
            <a:schemeClr val="accent5">
              <a:lumMod val="75000"/>
            </a:schemeClr>
          </a:solidFill>
          <a:ln>
            <a:noFill/>
          </a:ln>
          <a:effectLst>
            <a:outerShdw blurRad="317500" algn="ctr" rotWithShape="0">
              <a:prstClr val="black">
                <a:alpha val="25000"/>
              </a:prstClr>
            </a:outerShdw>
          </a:effectLst>
        </c:spPr>
      </c:pivotFmt>
      <c:pivotFmt>
        <c:idx val="106"/>
        <c:spPr>
          <a:solidFill>
            <a:schemeClr val="accent1"/>
          </a:solidFill>
          <a:ln>
            <a:noFill/>
          </a:ln>
          <a:effectLst>
            <a:outerShdw blurRad="317500" algn="ctr" rotWithShape="0">
              <a:prstClr val="black">
                <a:alpha val="25000"/>
              </a:prstClr>
            </a:outerShdw>
          </a:effectLst>
        </c:spPr>
      </c:pivotFmt>
      <c:pivotFmt>
        <c:idx val="107"/>
        <c:spPr>
          <a:solidFill>
            <a:schemeClr val="bg1">
              <a:lumMod val="95000"/>
            </a:schemeClr>
          </a:solidFill>
          <a:ln>
            <a:noFill/>
          </a:ln>
          <a:effectLst>
            <a:outerShdw blurRad="317500" algn="ctr" rotWithShape="0">
              <a:prstClr val="black">
                <a:alpha val="25000"/>
              </a:prstClr>
            </a:outerShdw>
          </a:effectLst>
        </c:spPr>
      </c:pivotFmt>
      <c:pivotFmt>
        <c:idx val="108"/>
        <c:spPr>
          <a:solidFill>
            <a:schemeClr val="bg1">
              <a:lumMod val="85000"/>
            </a:schemeClr>
          </a:solidFill>
          <a:ln>
            <a:noFill/>
          </a:ln>
          <a:effectLst>
            <a:outerShdw blurRad="317500" algn="ctr" rotWithShape="0">
              <a:prstClr val="black">
                <a:alpha val="25000"/>
              </a:prstClr>
            </a:outerShdw>
          </a:effectLst>
        </c:spPr>
      </c:pivotFmt>
      <c:pivotFmt>
        <c:idx val="10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110"/>
        <c:spPr>
          <a:solidFill>
            <a:srgbClr val="EA6B63"/>
          </a:solidFill>
          <a:ln>
            <a:noFill/>
          </a:ln>
          <a:effectLst>
            <a:outerShdw blurRad="317500" algn="ctr" rotWithShape="0">
              <a:prstClr val="black">
                <a:alpha val="25000"/>
              </a:prstClr>
            </a:outerShdw>
          </a:effectLst>
        </c:spPr>
      </c:pivotFmt>
      <c:pivotFmt>
        <c:idx val="111"/>
        <c:spPr>
          <a:solidFill>
            <a:srgbClr val="FFC000"/>
          </a:solidFill>
          <a:ln>
            <a:noFill/>
          </a:ln>
          <a:effectLst>
            <a:outerShdw blurRad="317500" algn="ctr" rotWithShape="0">
              <a:prstClr val="black">
                <a:alpha val="25000"/>
              </a:prstClr>
            </a:outerShdw>
          </a:effectLst>
        </c:spPr>
      </c:pivotFmt>
      <c:pivotFmt>
        <c:idx val="112"/>
        <c:spPr>
          <a:solidFill>
            <a:srgbClr val="00B050"/>
          </a:solidFill>
          <a:ln cmpd="sng">
            <a:noFill/>
          </a:ln>
          <a:effectLst>
            <a:glow>
              <a:schemeClr val="accent1">
                <a:alpha val="40000"/>
              </a:schemeClr>
            </a:glow>
          </a:effectLst>
          <a:scene3d>
            <a:camera prst="orthographicFront"/>
            <a:lightRig rig="threePt" dir="t"/>
          </a:scene3d>
          <a:sp3d prstMaterial="metal">
            <a:bevelT w="12700"/>
            <a:bevelB w="12700"/>
          </a:sp3d>
        </c:spPr>
      </c:pivotFmt>
      <c:pivotFmt>
        <c:idx val="113"/>
        <c:spPr>
          <a:solidFill>
            <a:schemeClr val="accent4">
              <a:lumMod val="50000"/>
            </a:schemeClr>
          </a:solidFill>
          <a:ln>
            <a:noFill/>
          </a:ln>
          <a:effectLst>
            <a:outerShdw blurRad="317500" algn="ctr" rotWithShape="0">
              <a:prstClr val="black">
                <a:alpha val="25000"/>
              </a:prstClr>
            </a:outerShdw>
          </a:effectLst>
        </c:spPr>
      </c:pivotFmt>
      <c:pivotFmt>
        <c:idx val="114"/>
        <c:spPr>
          <a:solidFill>
            <a:schemeClr val="accent5">
              <a:lumMod val="20000"/>
              <a:lumOff val="80000"/>
            </a:schemeClr>
          </a:solidFill>
          <a:ln>
            <a:noFill/>
          </a:ln>
          <a:effectLst>
            <a:outerShdw blurRad="317500" algn="ctr" rotWithShape="0">
              <a:prstClr val="black">
                <a:alpha val="25000"/>
              </a:prstClr>
            </a:outerShdw>
          </a:effectLst>
        </c:spPr>
      </c:pivotFmt>
      <c:pivotFmt>
        <c:idx val="115"/>
        <c:spPr>
          <a:solidFill>
            <a:schemeClr val="accent6">
              <a:lumMod val="75000"/>
            </a:schemeClr>
          </a:solidFill>
          <a:ln>
            <a:noFill/>
          </a:ln>
          <a:effectLst>
            <a:outerShdw blurRad="317500" algn="ctr" rotWithShape="0">
              <a:prstClr val="black">
                <a:alpha val="25000"/>
              </a:prstClr>
            </a:outerShdw>
          </a:effectLst>
        </c:spPr>
      </c:pivotFmt>
      <c:pivotFmt>
        <c:idx val="116"/>
        <c:spPr>
          <a:solidFill>
            <a:schemeClr val="accent1"/>
          </a:solidFill>
          <a:ln>
            <a:noFill/>
          </a:ln>
          <a:effectLst>
            <a:outerShdw blurRad="317500" algn="ctr" rotWithShape="0">
              <a:prstClr val="black">
                <a:alpha val="25000"/>
              </a:prstClr>
            </a:outerShdw>
          </a:effectLst>
        </c:spPr>
      </c:pivotFmt>
      <c:pivotFmt>
        <c:idx val="117"/>
        <c:spPr>
          <a:solidFill>
            <a:srgbClr val="F3D0EE"/>
          </a:solidFill>
          <a:ln>
            <a:noFill/>
          </a:ln>
          <a:effectLst>
            <a:outerShdw blurRad="317500" algn="ctr" rotWithShape="0">
              <a:prstClr val="black">
                <a:alpha val="25000"/>
              </a:prstClr>
            </a:outerShdw>
          </a:effectLst>
        </c:spPr>
      </c:pivotFmt>
      <c:pivotFmt>
        <c:idx val="118"/>
        <c:spPr>
          <a:solidFill>
            <a:schemeClr val="accent5">
              <a:lumMod val="75000"/>
            </a:schemeClr>
          </a:solidFill>
          <a:ln>
            <a:noFill/>
          </a:ln>
          <a:effectLst>
            <a:outerShdw blurRad="317500" algn="ctr" rotWithShape="0">
              <a:prstClr val="black">
                <a:alpha val="25000"/>
              </a:prstClr>
            </a:outerShdw>
          </a:effectLst>
        </c:spPr>
      </c:pivotFmt>
      <c:pivotFmt>
        <c:idx val="119"/>
        <c:spPr>
          <a:solidFill>
            <a:schemeClr val="accent1"/>
          </a:solidFill>
          <a:ln>
            <a:noFill/>
          </a:ln>
          <a:effectLst>
            <a:outerShdw blurRad="317500" algn="ctr" rotWithShape="0">
              <a:prstClr val="black">
                <a:alpha val="25000"/>
              </a:prstClr>
            </a:outerShdw>
          </a:effectLst>
        </c:spPr>
      </c:pivotFmt>
      <c:pivotFmt>
        <c:idx val="120"/>
        <c:spPr>
          <a:solidFill>
            <a:schemeClr val="bg1">
              <a:lumMod val="95000"/>
            </a:schemeClr>
          </a:solidFill>
          <a:ln>
            <a:noFill/>
          </a:ln>
          <a:effectLst>
            <a:outerShdw blurRad="317500" algn="ctr" rotWithShape="0">
              <a:prstClr val="black">
                <a:alpha val="25000"/>
              </a:prstClr>
            </a:outerShdw>
          </a:effectLst>
        </c:spPr>
      </c:pivotFmt>
      <c:pivotFmt>
        <c:idx val="121"/>
        <c:spPr>
          <a:solidFill>
            <a:schemeClr val="bg1">
              <a:lumMod val="85000"/>
            </a:schemeClr>
          </a:solidFill>
          <a:ln>
            <a:noFill/>
          </a:ln>
          <a:effectLst>
            <a:outerShdw blurRad="317500" algn="ctr" rotWithShape="0">
              <a:prstClr val="black">
                <a:alpha val="25000"/>
              </a:prstClr>
            </a:outerShdw>
          </a:effectLst>
        </c:spPr>
      </c:pivotFmt>
      <c:pivotFmt>
        <c:idx val="12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123"/>
        <c:spPr>
          <a:solidFill>
            <a:schemeClr val="accent6">
              <a:lumMod val="60000"/>
              <a:lumOff val="40000"/>
            </a:schemeClr>
          </a:solidFill>
          <a:ln>
            <a:noFill/>
          </a:ln>
          <a:effectLst>
            <a:outerShdw blurRad="317500" algn="ctr" rotWithShape="0">
              <a:prstClr val="black">
                <a:alpha val="25000"/>
              </a:prstClr>
            </a:outerShdw>
          </a:effectLst>
        </c:spPr>
      </c:pivotFmt>
      <c:pivotFmt>
        <c:idx val="124"/>
        <c:spPr>
          <a:solidFill>
            <a:srgbClr val="C00000"/>
          </a:solidFill>
          <a:ln>
            <a:noFill/>
          </a:ln>
          <a:effectLst>
            <a:outerShdw blurRad="317500" algn="ctr" rotWithShape="0">
              <a:prstClr val="black">
                <a:alpha val="25000"/>
              </a:prstClr>
            </a:outerShdw>
          </a:effectLst>
        </c:spPr>
      </c:pivotFmt>
      <c:pivotFmt>
        <c:idx val="125"/>
        <c:spPr>
          <a:solidFill>
            <a:srgbClr val="FF8732"/>
          </a:solidFill>
          <a:ln cmpd="sng">
            <a:noFill/>
          </a:ln>
          <a:effectLst>
            <a:glow>
              <a:schemeClr val="accent1">
                <a:alpha val="40000"/>
              </a:schemeClr>
            </a:glow>
          </a:effectLst>
          <a:scene3d>
            <a:camera prst="orthographicFront"/>
            <a:lightRig rig="threePt" dir="t"/>
          </a:scene3d>
          <a:sp3d prstMaterial="metal">
            <a:bevelT w="12700"/>
            <a:bevelB w="12700"/>
          </a:sp3d>
        </c:spPr>
      </c:pivotFmt>
      <c:pivotFmt>
        <c:idx val="126"/>
        <c:spPr>
          <a:solidFill>
            <a:schemeClr val="accent4">
              <a:lumMod val="20000"/>
              <a:lumOff val="80000"/>
            </a:schemeClr>
          </a:solidFill>
          <a:ln>
            <a:noFill/>
          </a:ln>
          <a:effectLst>
            <a:outerShdw blurRad="317500" algn="ctr" rotWithShape="0">
              <a:prstClr val="black">
                <a:alpha val="25000"/>
              </a:prstClr>
            </a:outerShdw>
          </a:effectLst>
        </c:spPr>
      </c:pivotFmt>
      <c:pivotFmt>
        <c:idx val="127"/>
        <c:spPr>
          <a:solidFill>
            <a:schemeClr val="accent5">
              <a:lumMod val="20000"/>
              <a:lumOff val="80000"/>
            </a:schemeClr>
          </a:solidFill>
          <a:ln>
            <a:noFill/>
          </a:ln>
          <a:effectLst>
            <a:outerShdw blurRad="317500" algn="ctr" rotWithShape="0">
              <a:prstClr val="black">
                <a:alpha val="25000"/>
              </a:prstClr>
            </a:outerShdw>
          </a:effectLst>
        </c:spPr>
      </c:pivotFmt>
      <c:pivotFmt>
        <c:idx val="128"/>
        <c:spPr>
          <a:solidFill>
            <a:srgbClr val="00C700"/>
          </a:solidFill>
          <a:ln>
            <a:noFill/>
          </a:ln>
          <a:effectLst>
            <a:outerShdw blurRad="317500" algn="ctr" rotWithShape="0">
              <a:prstClr val="black">
                <a:alpha val="25000"/>
              </a:prstClr>
            </a:outerShdw>
          </a:effectLst>
        </c:spPr>
      </c:pivotFmt>
      <c:pivotFmt>
        <c:idx val="129"/>
        <c:spPr>
          <a:solidFill>
            <a:srgbClr val="7030A0"/>
          </a:solidFill>
          <a:ln>
            <a:noFill/>
          </a:ln>
          <a:effectLst>
            <a:outerShdw blurRad="317500" algn="ctr" rotWithShape="0">
              <a:prstClr val="black">
                <a:alpha val="25000"/>
              </a:prstClr>
            </a:outerShdw>
          </a:effectLst>
        </c:spPr>
      </c:pivotFmt>
      <c:pivotFmt>
        <c:idx val="130"/>
        <c:spPr>
          <a:solidFill>
            <a:srgbClr val="F3D0EE"/>
          </a:solidFill>
          <a:ln>
            <a:noFill/>
          </a:ln>
          <a:effectLst>
            <a:outerShdw blurRad="317500" algn="ctr" rotWithShape="0">
              <a:prstClr val="black">
                <a:alpha val="25000"/>
              </a:prstClr>
            </a:outerShdw>
          </a:effectLst>
        </c:spPr>
      </c:pivotFmt>
      <c:pivotFmt>
        <c:idx val="131"/>
        <c:spPr>
          <a:solidFill>
            <a:schemeClr val="accent5">
              <a:lumMod val="75000"/>
            </a:schemeClr>
          </a:solidFill>
          <a:ln>
            <a:noFill/>
          </a:ln>
          <a:effectLst>
            <a:outerShdw blurRad="317500" algn="ctr" rotWithShape="0">
              <a:prstClr val="black">
                <a:alpha val="25000"/>
              </a:prstClr>
            </a:outerShdw>
          </a:effectLst>
        </c:spPr>
      </c:pivotFmt>
      <c:pivotFmt>
        <c:idx val="132"/>
        <c:spPr>
          <a:solidFill>
            <a:schemeClr val="accent1"/>
          </a:solidFill>
          <a:ln>
            <a:noFill/>
          </a:ln>
          <a:effectLst>
            <a:outerShdw blurRad="317500" algn="ctr" rotWithShape="0">
              <a:prstClr val="black">
                <a:alpha val="25000"/>
              </a:prstClr>
            </a:outerShdw>
          </a:effectLst>
        </c:spPr>
      </c:pivotFmt>
      <c:pivotFmt>
        <c:idx val="133"/>
        <c:spPr>
          <a:solidFill>
            <a:schemeClr val="bg1">
              <a:lumMod val="95000"/>
            </a:schemeClr>
          </a:solidFill>
          <a:ln>
            <a:noFill/>
          </a:ln>
          <a:effectLst>
            <a:outerShdw blurRad="317500" algn="ctr" rotWithShape="0">
              <a:prstClr val="black">
                <a:alpha val="25000"/>
              </a:prstClr>
            </a:outerShdw>
          </a:effectLst>
        </c:spPr>
      </c:pivotFmt>
      <c:pivotFmt>
        <c:idx val="134"/>
        <c:spPr>
          <a:solidFill>
            <a:schemeClr val="bg1">
              <a:lumMod val="85000"/>
            </a:schemeClr>
          </a:solidFill>
          <a:ln>
            <a:noFill/>
          </a:ln>
          <a:effectLst>
            <a:outerShdw blurRad="317500" algn="ctr" rotWithShape="0">
              <a:prstClr val="black">
                <a:alpha val="25000"/>
              </a:prstClr>
            </a:outerShdw>
          </a:effectLst>
        </c:spPr>
      </c:pivotFmt>
      <c:pivotFmt>
        <c:idx val="13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Sector!$B$3</c:f>
              <c:strCache>
                <c:ptCount val="1"/>
                <c:pt idx="0">
                  <c:v>Total</c:v>
                </c:pt>
              </c:strCache>
            </c:strRef>
          </c:tx>
          <c:dPt>
            <c:idx val="0"/>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181-5641-9D19-9251F4F3D82F}"/>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181-5641-9D19-9251F4F3D82F}"/>
              </c:ext>
            </c:extLst>
          </c:dPt>
          <c:dPt>
            <c:idx val="2"/>
            <c:bubble3D val="0"/>
            <c:explosion val="20"/>
            <c:spPr>
              <a:solidFill>
                <a:srgbClr val="FF8732"/>
              </a:solidFill>
              <a:ln cmpd="sng">
                <a:noFill/>
              </a:ln>
              <a:effectLst>
                <a:glow>
                  <a:schemeClr val="accent1">
                    <a:alpha val="40000"/>
                  </a:schemeClr>
                </a:glow>
              </a:effectLst>
              <a:scene3d>
                <a:camera prst="orthographicFront"/>
                <a:lightRig rig="threePt" dir="t"/>
              </a:scene3d>
              <a:sp3d prstMaterial="metal">
                <a:bevelT w="12700"/>
                <a:bevelB w="12700"/>
              </a:sp3d>
            </c:spPr>
            <c:extLst>
              <c:ext xmlns:c16="http://schemas.microsoft.com/office/drawing/2014/chart" uri="{C3380CC4-5D6E-409C-BE32-E72D297353CC}">
                <c16:uniqueId val="{00000005-C181-5641-9D19-9251F4F3D82F}"/>
              </c:ext>
            </c:extLst>
          </c:dPt>
          <c:dPt>
            <c:idx val="3"/>
            <c:bubble3D val="0"/>
            <c:spPr>
              <a:solidFill>
                <a:schemeClr val="accent4">
                  <a:lumMod val="20000"/>
                  <a:lumOff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181-5641-9D19-9251F4F3D82F}"/>
              </c:ext>
            </c:extLst>
          </c:dPt>
          <c:dPt>
            <c:idx val="4"/>
            <c:bubble3D val="0"/>
            <c:spPr>
              <a:solidFill>
                <a:schemeClr val="accent5">
                  <a:lumMod val="20000"/>
                  <a:lumOff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181-5641-9D19-9251F4F3D82F}"/>
              </c:ext>
            </c:extLst>
          </c:dPt>
          <c:dPt>
            <c:idx val="5"/>
            <c:bubble3D val="0"/>
            <c:spPr>
              <a:solidFill>
                <a:srgbClr val="00C7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181-5641-9D19-9251F4F3D82F}"/>
              </c:ext>
            </c:extLst>
          </c:dPt>
          <c:dPt>
            <c:idx val="6"/>
            <c:bubble3D val="0"/>
            <c:spPr>
              <a:solidFill>
                <a:srgbClr val="F3D0EE"/>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C181-5641-9D19-9251F4F3D82F}"/>
              </c:ext>
            </c:extLst>
          </c:dPt>
          <c:dPt>
            <c:idx val="7"/>
            <c:bubble3D val="0"/>
            <c:spPr>
              <a:solidFill>
                <a:schemeClr val="accent5">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C181-5641-9D19-9251F4F3D82F}"/>
              </c:ext>
            </c:extLst>
          </c:dPt>
          <c:dPt>
            <c:idx val="8"/>
            <c:bubble3D val="0"/>
            <c:spPr>
              <a:solidFill>
                <a:schemeClr val="bg1">
                  <a:lumMod val="9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C181-5641-9D19-9251F4F3D82F}"/>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C181-5641-9D19-9251F4F3D82F}"/>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C181-5641-9D19-9251F4F3D82F}"/>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C181-5641-9D19-9251F4F3D82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Sector!$A$4:$A$14</c:f>
              <c:strCache>
                <c:ptCount val="10"/>
                <c:pt idx="0">
                  <c:v>Academic/Hospitals </c:v>
                </c:pt>
                <c:pt idx="1">
                  <c:v>Associations</c:v>
                </c:pt>
                <c:pt idx="2">
                  <c:v>Biotechnology</c:v>
                </c:pt>
                <c:pt idx="3">
                  <c:v>Charities</c:v>
                </c:pt>
                <c:pt idx="4">
                  <c:v>Investor</c:v>
                </c:pt>
                <c:pt idx="5">
                  <c:v>Media businesses</c:v>
                </c:pt>
                <c:pt idx="6">
                  <c:v>Pharmaceutical</c:v>
                </c:pt>
                <c:pt idx="7">
                  <c:v>Regulator/Payers</c:v>
                </c:pt>
                <c:pt idx="8">
                  <c:v>Vendor</c:v>
                </c:pt>
                <c:pt idx="9">
                  <c:v>Not mentioned</c:v>
                </c:pt>
              </c:strCache>
            </c:strRef>
          </c:cat>
          <c:val>
            <c:numRef>
              <c:f>Sector!$B$4:$B$14</c:f>
              <c:numCache>
                <c:formatCode>General</c:formatCode>
                <c:ptCount val="10"/>
                <c:pt idx="0">
                  <c:v>27</c:v>
                </c:pt>
                <c:pt idx="1">
                  <c:v>7</c:v>
                </c:pt>
                <c:pt idx="2">
                  <c:v>91</c:v>
                </c:pt>
                <c:pt idx="3">
                  <c:v>4</c:v>
                </c:pt>
                <c:pt idx="4">
                  <c:v>16</c:v>
                </c:pt>
                <c:pt idx="5">
                  <c:v>2</c:v>
                </c:pt>
                <c:pt idx="6">
                  <c:v>22</c:v>
                </c:pt>
                <c:pt idx="7">
                  <c:v>3</c:v>
                </c:pt>
                <c:pt idx="8">
                  <c:v>412</c:v>
                </c:pt>
                <c:pt idx="9">
                  <c:v>148</c:v>
                </c:pt>
              </c:numCache>
            </c:numRef>
          </c:val>
          <c:extLst>
            <c:ext xmlns:c16="http://schemas.microsoft.com/office/drawing/2014/chart" uri="{C3380CC4-5D6E-409C-BE32-E72D297353CC}">
              <c16:uniqueId val="{00000018-C181-5641-9D19-9251F4F3D82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2"/>
        <c:txPr>
          <a:bodyPr rot="0" spcFirstLastPara="1" vertOverflow="ellipsis" vert="horz" wrap="square" anchor="ctr" anchorCtr="1"/>
          <a:lstStyle/>
          <a:p>
            <a:pPr>
              <a:defRPr sz="900" b="0" i="0" u="none" strike="noStrike" kern="1200" baseline="0">
                <a:solidFill>
                  <a:schemeClr val="dk1">
                    <a:lumMod val="65000"/>
                    <a:lumOff val="35000"/>
                    <a:alpha val="99000"/>
                  </a:schemeClr>
                </a:solidFill>
                <a:latin typeface="+mn-lt"/>
                <a:ea typeface="+mn-ea"/>
                <a:cs typeface="+mn-cs"/>
              </a:defRPr>
            </a:pPr>
            <a:endParaRPr lang="en-US"/>
          </a:p>
        </c:txPr>
      </c:legendEntry>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[Email Campaign &amp; Audience Analysis Dashboard copy.xlsx]Email performance over time !PivotTable1</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600" b="1" i="0" u="none" strike="noStrike" kern="1200" spc="0" baseline="0">
                <a:solidFill>
                  <a:schemeClr val="tx1"/>
                </a:solidFill>
                <a:effectLst/>
              </a:rPr>
              <a:t>Email campaign performance over time</a:t>
            </a:r>
            <a:r>
              <a:rPr lang="en-GB" sz="1600" b="0" i="0" u="none" strike="noStrike" kern="1200" spc="0" baseline="0">
                <a:solidFill>
                  <a:sysClr val="windowText" lastClr="000000">
                    <a:lumMod val="65000"/>
                    <a:lumOff val="35000"/>
                  </a:sysClr>
                </a:solidFill>
                <a:effectLst/>
              </a:rPr>
              <a:t> </a:t>
            </a:r>
            <a:endParaRPr lang="en-US" sz="16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'Email performance over time '!$B$3</c:f>
              <c:strCache>
                <c:ptCount val="1"/>
                <c:pt idx="0">
                  <c:v>Email open</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'Email performance over time '!$A$4:$A$16</c:f>
              <c:strCache>
                <c:ptCount val="12"/>
                <c:pt idx="0">
                  <c:v>Feb</c:v>
                </c:pt>
                <c:pt idx="1">
                  <c:v>Apr</c:v>
                </c:pt>
                <c:pt idx="2">
                  <c:v>Jun</c:v>
                </c:pt>
                <c:pt idx="3">
                  <c:v>May</c:v>
                </c:pt>
                <c:pt idx="4">
                  <c:v>Mar</c:v>
                </c:pt>
                <c:pt idx="5">
                  <c:v>Sep</c:v>
                </c:pt>
                <c:pt idx="6">
                  <c:v>Jul</c:v>
                </c:pt>
                <c:pt idx="7">
                  <c:v>Aug</c:v>
                </c:pt>
                <c:pt idx="8">
                  <c:v>Jan</c:v>
                </c:pt>
                <c:pt idx="9">
                  <c:v>Dec</c:v>
                </c:pt>
                <c:pt idx="10">
                  <c:v>Nov</c:v>
                </c:pt>
                <c:pt idx="11">
                  <c:v>Oct</c:v>
                </c:pt>
              </c:strCache>
            </c:strRef>
          </c:cat>
          <c:val>
            <c:numRef>
              <c:f>'Email performance over time '!$B$4:$B$16</c:f>
              <c:numCache>
                <c:formatCode>0%</c:formatCode>
                <c:ptCount val="12"/>
                <c:pt idx="0">
                  <c:v>0.41017797993425265</c:v>
                </c:pt>
                <c:pt idx="1">
                  <c:v>0.37815075430734874</c:v>
                </c:pt>
                <c:pt idx="2">
                  <c:v>0.32136325750306854</c:v>
                </c:pt>
                <c:pt idx="3">
                  <c:v>0.37167214281830913</c:v>
                </c:pt>
                <c:pt idx="4">
                  <c:v>0.30536589057369934</c:v>
                </c:pt>
                <c:pt idx="5">
                  <c:v>0.31568608050056696</c:v>
                </c:pt>
                <c:pt idx="6">
                  <c:v>0.31838871300734201</c:v>
                </c:pt>
                <c:pt idx="7">
                  <c:v>0.34123760869916847</c:v>
                </c:pt>
                <c:pt idx="8">
                  <c:v>0.48853850404180343</c:v>
                </c:pt>
                <c:pt idx="9">
                  <c:v>0.31243997748894003</c:v>
                </c:pt>
                <c:pt idx="10">
                  <c:v>0.34324306282253675</c:v>
                </c:pt>
                <c:pt idx="11">
                  <c:v>0.30299332690297021</c:v>
                </c:pt>
              </c:numCache>
            </c:numRef>
          </c:val>
          <c:extLst>
            <c:ext xmlns:c16="http://schemas.microsoft.com/office/drawing/2014/chart" uri="{C3380CC4-5D6E-409C-BE32-E72D297353CC}">
              <c16:uniqueId val="{00000000-220C-4245-B4E2-2F0D4435B860}"/>
            </c:ext>
          </c:extLst>
        </c:ser>
        <c:ser>
          <c:idx val="1"/>
          <c:order val="1"/>
          <c:tx>
            <c:strRef>
              <c:f>'Email performance over time '!$C$3</c:f>
              <c:strCache>
                <c:ptCount val="1"/>
                <c:pt idx="0">
                  <c:v>Engagement through clicks</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'Email performance over time '!$A$4:$A$16</c:f>
              <c:strCache>
                <c:ptCount val="12"/>
                <c:pt idx="0">
                  <c:v>Feb</c:v>
                </c:pt>
                <c:pt idx="1">
                  <c:v>Apr</c:v>
                </c:pt>
                <c:pt idx="2">
                  <c:v>Jun</c:v>
                </c:pt>
                <c:pt idx="3">
                  <c:v>May</c:v>
                </c:pt>
                <c:pt idx="4">
                  <c:v>Mar</c:v>
                </c:pt>
                <c:pt idx="5">
                  <c:v>Sep</c:v>
                </c:pt>
                <c:pt idx="6">
                  <c:v>Jul</c:v>
                </c:pt>
                <c:pt idx="7">
                  <c:v>Aug</c:v>
                </c:pt>
                <c:pt idx="8">
                  <c:v>Jan</c:v>
                </c:pt>
                <c:pt idx="9">
                  <c:v>Dec</c:v>
                </c:pt>
                <c:pt idx="10">
                  <c:v>Nov</c:v>
                </c:pt>
                <c:pt idx="11">
                  <c:v>Oct</c:v>
                </c:pt>
              </c:strCache>
            </c:strRef>
          </c:cat>
          <c:val>
            <c:numRef>
              <c:f>'Email performance over time '!$C$4:$C$16</c:f>
              <c:numCache>
                <c:formatCode>0%</c:formatCode>
                <c:ptCount val="12"/>
                <c:pt idx="0">
                  <c:v>6.4873532903207284E-2</c:v>
                </c:pt>
                <c:pt idx="1">
                  <c:v>5.0778106836037749E-2</c:v>
                </c:pt>
                <c:pt idx="2">
                  <c:v>6.203442682145386E-2</c:v>
                </c:pt>
                <c:pt idx="3">
                  <c:v>7.2356896846808141E-2</c:v>
                </c:pt>
                <c:pt idx="4">
                  <c:v>3.3986790807977181E-2</c:v>
                </c:pt>
                <c:pt idx="5">
                  <c:v>0.14315285888593793</c:v>
                </c:pt>
                <c:pt idx="6">
                  <c:v>0.10074049970030355</c:v>
                </c:pt>
                <c:pt idx="7">
                  <c:v>0.11141408462407394</c:v>
                </c:pt>
                <c:pt idx="8">
                  <c:v>0.15880569529449587</c:v>
                </c:pt>
                <c:pt idx="9">
                  <c:v>0.18102473606819799</c:v>
                </c:pt>
                <c:pt idx="10">
                  <c:v>0.15129147916011876</c:v>
                </c:pt>
                <c:pt idx="11">
                  <c:v>8.8604740388694384E-2</c:v>
                </c:pt>
              </c:numCache>
            </c:numRef>
          </c:val>
          <c:extLst>
            <c:ext xmlns:c16="http://schemas.microsoft.com/office/drawing/2014/chart" uri="{C3380CC4-5D6E-409C-BE32-E72D297353CC}">
              <c16:uniqueId val="{00000001-220C-4245-B4E2-2F0D4435B860}"/>
            </c:ext>
          </c:extLst>
        </c:ser>
        <c:ser>
          <c:idx val="2"/>
          <c:order val="2"/>
          <c:tx>
            <c:strRef>
              <c:f>'Email performance over time '!$D$3</c:f>
              <c:strCache>
                <c:ptCount val="1"/>
                <c:pt idx="0">
                  <c:v>Visitor to product page</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'Email performance over time '!$A$4:$A$16</c:f>
              <c:strCache>
                <c:ptCount val="12"/>
                <c:pt idx="0">
                  <c:v>Feb</c:v>
                </c:pt>
                <c:pt idx="1">
                  <c:v>Apr</c:v>
                </c:pt>
                <c:pt idx="2">
                  <c:v>Jun</c:v>
                </c:pt>
                <c:pt idx="3">
                  <c:v>May</c:v>
                </c:pt>
                <c:pt idx="4">
                  <c:v>Mar</c:v>
                </c:pt>
                <c:pt idx="5">
                  <c:v>Sep</c:v>
                </c:pt>
                <c:pt idx="6">
                  <c:v>Jul</c:v>
                </c:pt>
                <c:pt idx="7">
                  <c:v>Aug</c:v>
                </c:pt>
                <c:pt idx="8">
                  <c:v>Jan</c:v>
                </c:pt>
                <c:pt idx="9">
                  <c:v>Dec</c:v>
                </c:pt>
                <c:pt idx="10">
                  <c:v>Nov</c:v>
                </c:pt>
                <c:pt idx="11">
                  <c:v>Oct</c:v>
                </c:pt>
              </c:strCache>
            </c:strRef>
          </c:cat>
          <c:val>
            <c:numRef>
              <c:f>'Email performance over time '!$D$4:$D$16</c:f>
              <c:numCache>
                <c:formatCode>0%</c:formatCode>
                <c:ptCount val="12"/>
                <c:pt idx="0">
                  <c:v>0.26308230817058992</c:v>
                </c:pt>
                <c:pt idx="1">
                  <c:v>0.32023569141325947</c:v>
                </c:pt>
                <c:pt idx="2">
                  <c:v>0.34561345037544167</c:v>
                </c:pt>
                <c:pt idx="3">
                  <c:v>0.35975838070946164</c:v>
                </c:pt>
                <c:pt idx="4">
                  <c:v>0.36320490676983458</c:v>
                </c:pt>
                <c:pt idx="5">
                  <c:v>0.39871716282507874</c:v>
                </c:pt>
                <c:pt idx="6">
                  <c:v>0.40435679381701189</c:v>
                </c:pt>
                <c:pt idx="7">
                  <c:v>0.41590915530246408</c:v>
                </c:pt>
                <c:pt idx="8">
                  <c:v>0.4208799702055866</c:v>
                </c:pt>
                <c:pt idx="9">
                  <c:v>0.4285656437659095</c:v>
                </c:pt>
                <c:pt idx="10">
                  <c:v>0.44788242215080737</c:v>
                </c:pt>
                <c:pt idx="11">
                  <c:v>0.4601671075972501</c:v>
                </c:pt>
              </c:numCache>
            </c:numRef>
          </c:val>
          <c:extLst>
            <c:ext xmlns:c16="http://schemas.microsoft.com/office/drawing/2014/chart" uri="{C3380CC4-5D6E-409C-BE32-E72D297353CC}">
              <c16:uniqueId val="{00000002-220C-4245-B4E2-2F0D4435B860}"/>
            </c:ext>
          </c:extLst>
        </c:ser>
        <c:dLbls>
          <c:showLegendKey val="0"/>
          <c:showVal val="0"/>
          <c:showCatName val="0"/>
          <c:showSerName val="0"/>
          <c:showPercent val="0"/>
          <c:showBubbleSize val="0"/>
        </c:dLbls>
        <c:gapWidth val="219"/>
        <c:overlap val="-27"/>
        <c:axId val="2029466703"/>
        <c:axId val="2029672575"/>
      </c:barChart>
      <c:catAx>
        <c:axId val="202946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672575"/>
        <c:crosses val="autoZero"/>
        <c:auto val="1"/>
        <c:lblAlgn val="ctr"/>
        <c:lblOffset val="100"/>
        <c:noMultiLvlLbl val="0"/>
      </c:catAx>
      <c:valAx>
        <c:axId val="2029672575"/>
        <c:scaling>
          <c:orientation val="minMax"/>
          <c:max val="0.5"/>
        </c:scaling>
        <c:delete val="1"/>
        <c:axPos val="l"/>
        <c:numFmt formatCode="0%" sourceLinked="1"/>
        <c:majorTickMark val="none"/>
        <c:minorTickMark val="none"/>
        <c:tickLblPos val="nextTo"/>
        <c:crossAx val="202946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chemeClr val="tx1"/>
                </a:solidFill>
                <a:latin typeface="+mn-lt"/>
                <a:ea typeface="+mn-ea"/>
                <a:cs typeface="+mn-cs"/>
              </a:defRPr>
            </a:pPr>
            <a:r>
              <a:rPr lang="en-GB" sz="1600" b="1" i="0" u="none" strike="noStrike" baseline="0">
                <a:solidFill>
                  <a:schemeClr val="tx1"/>
                </a:solidFill>
              </a:rPr>
              <a:t>Product Page Conversion Rate by Campaign: Highest and Lowest Performers</a:t>
            </a:r>
            <a:endParaRPr lang="en-US" sz="1600" b="1" i="0" u="none" strike="noStrike" kern="1200" spc="0" baseline="0">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'Best worst campaign'!$E$3</c:f>
              <c:strCache>
                <c:ptCount val="1"/>
                <c:pt idx="0">
                  <c:v>Visitor to product page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worst campaign'!$D$4:$D$24</c:f>
              <c:strCache>
                <c:ptCount val="21"/>
                <c:pt idx="0">
                  <c:v>365 email</c:v>
                </c:pt>
                <c:pt idx="1">
                  <c:v>Abandoned cart</c:v>
                </c:pt>
                <c:pt idx="2">
                  <c:v>Conversion</c:v>
                </c:pt>
                <c:pt idx="3">
                  <c:v>credit vouchers</c:v>
                </c:pt>
                <c:pt idx="4">
                  <c:v>email</c:v>
                </c:pt>
                <c:pt idx="5">
                  <c:v>Excom Email</c:v>
                </c:pt>
                <c:pt idx="6">
                  <c:v>Exprom Email</c:v>
                </c:pt>
                <c:pt idx="7">
                  <c:v>Exprom Sponsor Acquisition</c:v>
                </c:pt>
                <c:pt idx="8">
                  <c:v>Newsletter</c:v>
                </c:pt>
                <c:pt idx="9">
                  <c:v>Non-member comms</c:v>
                </c:pt>
                <c:pt idx="10">
                  <c:v>Operational Comms</c:v>
                </c:pt>
                <c:pt idx="11">
                  <c:v>Speaker Presentations</c:v>
                </c:pt>
                <c:pt idx="12">
                  <c:v>Speakers</c:v>
                </c:pt>
                <c:pt idx="13">
                  <c:v>spex</c:v>
                </c:pt>
                <c:pt idx="14">
                  <c:v>Visprom Conversion Email</c:v>
                </c:pt>
                <c:pt idx="15">
                  <c:v>Visprom Email</c:v>
                </c:pt>
                <c:pt idx="16">
                  <c:v>Visprom Registration DS Email</c:v>
                </c:pt>
                <c:pt idx="17">
                  <c:v>Visprom Registration Email</c:v>
                </c:pt>
                <c:pt idx="18">
                  <c:v>Visprom Registration Webinar</c:v>
                </c:pt>
                <c:pt idx="19">
                  <c:v>WebinarEmails</c:v>
                </c:pt>
                <c:pt idx="20">
                  <c:v>webinars</c:v>
                </c:pt>
              </c:strCache>
            </c:strRef>
          </c:cat>
          <c:val>
            <c:numRef>
              <c:f>'Best worst campaign'!$E$4:$E$24</c:f>
              <c:numCache>
                <c:formatCode>0%</c:formatCode>
                <c:ptCount val="21"/>
                <c:pt idx="0">
                  <c:v>0.50942381121742808</c:v>
                </c:pt>
                <c:pt idx="1">
                  <c:v>0.34622540427300386</c:v>
                </c:pt>
                <c:pt idx="2">
                  <c:v>0.43766802728932896</c:v>
                </c:pt>
                <c:pt idx="3">
                  <c:v>0.15625</c:v>
                </c:pt>
                <c:pt idx="4">
                  <c:v>0.4342223713167877</c:v>
                </c:pt>
                <c:pt idx="5">
                  <c:v>0.43965124474465572</c:v>
                </c:pt>
                <c:pt idx="6">
                  <c:v>0.39360798722474455</c:v>
                </c:pt>
                <c:pt idx="7">
                  <c:v>0.41648479891667928</c:v>
                </c:pt>
                <c:pt idx="8">
                  <c:v>0.32423390380386991</c:v>
                </c:pt>
                <c:pt idx="9">
                  <c:v>0.35971082107332863</c:v>
                </c:pt>
                <c:pt idx="10">
                  <c:v>0.78854075722918848</c:v>
                </c:pt>
                <c:pt idx="11">
                  <c:v>8.2589285714285712E-2</c:v>
                </c:pt>
                <c:pt idx="12">
                  <c:v>0.25757575757575757</c:v>
                </c:pt>
                <c:pt idx="13">
                  <c:v>0.45218468226209479</c:v>
                </c:pt>
                <c:pt idx="14">
                  <c:v>0.16144639674051439</c:v>
                </c:pt>
                <c:pt idx="15">
                  <c:v>0.40098902979292039</c:v>
                </c:pt>
                <c:pt idx="16">
                  <c:v>0.30948191221438487</c:v>
                </c:pt>
                <c:pt idx="17">
                  <c:v>0.36425606752008827</c:v>
                </c:pt>
                <c:pt idx="18">
                  <c:v>0.35909631391200952</c:v>
                </c:pt>
                <c:pt idx="19">
                  <c:v>0.39908578494241764</c:v>
                </c:pt>
                <c:pt idx="20">
                  <c:v>0.38877365610123382</c:v>
                </c:pt>
              </c:numCache>
            </c:numRef>
          </c:val>
          <c:smooth val="0"/>
          <c:extLst>
            <c:ext xmlns:c16="http://schemas.microsoft.com/office/drawing/2014/chart" uri="{C3380CC4-5D6E-409C-BE32-E72D297353CC}">
              <c16:uniqueId val="{00000000-4507-3F42-A5B3-75ED71F39B5B}"/>
            </c:ext>
          </c:extLst>
        </c:ser>
        <c:ser>
          <c:idx val="1"/>
          <c:order val="1"/>
          <c:tx>
            <c:strRef>
              <c:f>'Best worst campaign'!$F$3</c:f>
              <c:strCache>
                <c:ptCount val="1"/>
                <c:pt idx="0">
                  <c:v>MAX Conversion</c:v>
                </c:pt>
              </c:strCache>
            </c:strRef>
          </c:tx>
          <c:spPr>
            <a:ln w="38100" cap="rnd">
              <a:solidFill>
                <a:schemeClr val="bg1"/>
              </a:solidFill>
              <a:round/>
            </a:ln>
            <a:effectLst/>
          </c:spPr>
          <c:marker>
            <c:symbol val="circle"/>
            <c:size val="5"/>
            <c:spPr>
              <a:solidFill>
                <a:schemeClr val="accent2"/>
              </a:solidFill>
              <a:ln w="63500">
                <a:solidFill>
                  <a:schemeClr val="accent2"/>
                </a:solidFill>
              </a:ln>
              <a:effectLst/>
            </c:spPr>
          </c:marker>
          <c:cat>
            <c:strRef>
              <c:f>'Best worst campaign'!$D$4:$D$24</c:f>
              <c:strCache>
                <c:ptCount val="21"/>
                <c:pt idx="0">
                  <c:v>365 email</c:v>
                </c:pt>
                <c:pt idx="1">
                  <c:v>Abandoned cart</c:v>
                </c:pt>
                <c:pt idx="2">
                  <c:v>Conversion</c:v>
                </c:pt>
                <c:pt idx="3">
                  <c:v>credit vouchers</c:v>
                </c:pt>
                <c:pt idx="4">
                  <c:v>email</c:v>
                </c:pt>
                <c:pt idx="5">
                  <c:v>Excom Email</c:v>
                </c:pt>
                <c:pt idx="6">
                  <c:v>Exprom Email</c:v>
                </c:pt>
                <c:pt idx="7">
                  <c:v>Exprom Sponsor Acquisition</c:v>
                </c:pt>
                <c:pt idx="8">
                  <c:v>Newsletter</c:v>
                </c:pt>
                <c:pt idx="9">
                  <c:v>Non-member comms</c:v>
                </c:pt>
                <c:pt idx="10">
                  <c:v>Operational Comms</c:v>
                </c:pt>
                <c:pt idx="11">
                  <c:v>Speaker Presentations</c:v>
                </c:pt>
                <c:pt idx="12">
                  <c:v>Speakers</c:v>
                </c:pt>
                <c:pt idx="13">
                  <c:v>spex</c:v>
                </c:pt>
                <c:pt idx="14">
                  <c:v>Visprom Conversion Email</c:v>
                </c:pt>
                <c:pt idx="15">
                  <c:v>Visprom Email</c:v>
                </c:pt>
                <c:pt idx="16">
                  <c:v>Visprom Registration DS Email</c:v>
                </c:pt>
                <c:pt idx="17">
                  <c:v>Visprom Registration Email</c:v>
                </c:pt>
                <c:pt idx="18">
                  <c:v>Visprom Registration Webinar</c:v>
                </c:pt>
                <c:pt idx="19">
                  <c:v>WebinarEmails</c:v>
                </c:pt>
                <c:pt idx="20">
                  <c:v>webinars</c:v>
                </c:pt>
              </c:strCache>
            </c:strRef>
          </c:cat>
          <c:val>
            <c:numRef>
              <c:f>'Best worst campaign'!$F$4:$F$24</c:f>
              <c:numCache>
                <c:formatCode>0%</c:formatCode>
                <c:ptCount val="21"/>
                <c:pt idx="0">
                  <c:v>#N/A</c:v>
                </c:pt>
                <c:pt idx="1">
                  <c:v>#N/A</c:v>
                </c:pt>
                <c:pt idx="2">
                  <c:v>#N/A</c:v>
                </c:pt>
                <c:pt idx="3">
                  <c:v>#N/A</c:v>
                </c:pt>
                <c:pt idx="4">
                  <c:v>#N/A</c:v>
                </c:pt>
                <c:pt idx="5">
                  <c:v>#N/A</c:v>
                </c:pt>
                <c:pt idx="6">
                  <c:v>#N/A</c:v>
                </c:pt>
                <c:pt idx="7">
                  <c:v>#N/A</c:v>
                </c:pt>
                <c:pt idx="8">
                  <c:v>#N/A</c:v>
                </c:pt>
                <c:pt idx="9">
                  <c:v>#N/A</c:v>
                </c:pt>
                <c:pt idx="10">
                  <c:v>0.78854075722918848</c:v>
                </c:pt>
                <c:pt idx="11">
                  <c:v>#N/A</c:v>
                </c:pt>
                <c:pt idx="12">
                  <c:v>#N/A</c:v>
                </c:pt>
                <c:pt idx="13">
                  <c:v>#N/A</c:v>
                </c:pt>
                <c:pt idx="14">
                  <c:v>#N/A</c:v>
                </c:pt>
                <c:pt idx="15">
                  <c:v>#N/A</c:v>
                </c:pt>
                <c:pt idx="16">
                  <c:v>#N/A</c:v>
                </c:pt>
                <c:pt idx="17">
                  <c:v>#N/A</c:v>
                </c:pt>
                <c:pt idx="18">
                  <c:v>#N/A</c:v>
                </c:pt>
                <c:pt idx="19">
                  <c:v>#N/A</c:v>
                </c:pt>
                <c:pt idx="20">
                  <c:v>#N/A</c:v>
                </c:pt>
              </c:numCache>
            </c:numRef>
          </c:val>
          <c:smooth val="0"/>
          <c:extLst>
            <c:ext xmlns:c16="http://schemas.microsoft.com/office/drawing/2014/chart" uri="{C3380CC4-5D6E-409C-BE32-E72D297353CC}">
              <c16:uniqueId val="{00000001-4507-3F42-A5B3-75ED71F39B5B}"/>
            </c:ext>
          </c:extLst>
        </c:ser>
        <c:ser>
          <c:idx val="2"/>
          <c:order val="2"/>
          <c:tx>
            <c:strRef>
              <c:f>'Best worst campaign'!$G$3</c:f>
              <c:strCache>
                <c:ptCount val="1"/>
                <c:pt idx="0">
                  <c:v>MIN Conversion</c:v>
                </c:pt>
              </c:strCache>
            </c:strRef>
          </c:tx>
          <c:spPr>
            <a:ln w="28575" cap="rnd">
              <a:solidFill>
                <a:schemeClr val="bg1"/>
              </a:solidFill>
              <a:round/>
            </a:ln>
            <a:effectLst/>
          </c:spPr>
          <c:marker>
            <c:symbol val="circle"/>
            <c:size val="5"/>
            <c:spPr>
              <a:solidFill>
                <a:schemeClr val="accent4"/>
              </a:solidFill>
              <a:ln w="63500">
                <a:solidFill>
                  <a:schemeClr val="accent4"/>
                </a:solidFill>
              </a:ln>
              <a:effectLst/>
            </c:spPr>
          </c:marker>
          <c:cat>
            <c:strRef>
              <c:f>'Best worst campaign'!$D$4:$D$24</c:f>
              <c:strCache>
                <c:ptCount val="21"/>
                <c:pt idx="0">
                  <c:v>365 email</c:v>
                </c:pt>
                <c:pt idx="1">
                  <c:v>Abandoned cart</c:v>
                </c:pt>
                <c:pt idx="2">
                  <c:v>Conversion</c:v>
                </c:pt>
                <c:pt idx="3">
                  <c:v>credit vouchers</c:v>
                </c:pt>
                <c:pt idx="4">
                  <c:v>email</c:v>
                </c:pt>
                <c:pt idx="5">
                  <c:v>Excom Email</c:v>
                </c:pt>
                <c:pt idx="6">
                  <c:v>Exprom Email</c:v>
                </c:pt>
                <c:pt idx="7">
                  <c:v>Exprom Sponsor Acquisition</c:v>
                </c:pt>
                <c:pt idx="8">
                  <c:v>Newsletter</c:v>
                </c:pt>
                <c:pt idx="9">
                  <c:v>Non-member comms</c:v>
                </c:pt>
                <c:pt idx="10">
                  <c:v>Operational Comms</c:v>
                </c:pt>
                <c:pt idx="11">
                  <c:v>Speaker Presentations</c:v>
                </c:pt>
                <c:pt idx="12">
                  <c:v>Speakers</c:v>
                </c:pt>
                <c:pt idx="13">
                  <c:v>spex</c:v>
                </c:pt>
                <c:pt idx="14">
                  <c:v>Visprom Conversion Email</c:v>
                </c:pt>
                <c:pt idx="15">
                  <c:v>Visprom Email</c:v>
                </c:pt>
                <c:pt idx="16">
                  <c:v>Visprom Registration DS Email</c:v>
                </c:pt>
                <c:pt idx="17">
                  <c:v>Visprom Registration Email</c:v>
                </c:pt>
                <c:pt idx="18">
                  <c:v>Visprom Registration Webinar</c:v>
                </c:pt>
                <c:pt idx="19">
                  <c:v>WebinarEmails</c:v>
                </c:pt>
                <c:pt idx="20">
                  <c:v>webinars</c:v>
                </c:pt>
              </c:strCache>
            </c:strRef>
          </c:cat>
          <c:val>
            <c:numRef>
              <c:f>'Best worst campaign'!$G$4:$G$24</c:f>
              <c:numCache>
                <c:formatCode>0%</c:formatCode>
                <c:ptCount val="21"/>
                <c:pt idx="0">
                  <c:v>#N/A</c:v>
                </c:pt>
                <c:pt idx="1">
                  <c:v>#N/A</c:v>
                </c:pt>
                <c:pt idx="2">
                  <c:v>#N/A</c:v>
                </c:pt>
                <c:pt idx="3">
                  <c:v>#N/A</c:v>
                </c:pt>
                <c:pt idx="4">
                  <c:v>#N/A</c:v>
                </c:pt>
                <c:pt idx="5">
                  <c:v>#N/A</c:v>
                </c:pt>
                <c:pt idx="6">
                  <c:v>#N/A</c:v>
                </c:pt>
                <c:pt idx="7">
                  <c:v>#N/A</c:v>
                </c:pt>
                <c:pt idx="8">
                  <c:v>#N/A</c:v>
                </c:pt>
                <c:pt idx="9">
                  <c:v>#N/A</c:v>
                </c:pt>
                <c:pt idx="10">
                  <c:v>#N/A</c:v>
                </c:pt>
                <c:pt idx="11">
                  <c:v>8.2589285714285712E-2</c:v>
                </c:pt>
                <c:pt idx="12">
                  <c:v>#N/A</c:v>
                </c:pt>
                <c:pt idx="13">
                  <c:v>#N/A</c:v>
                </c:pt>
                <c:pt idx="14">
                  <c:v>#N/A</c:v>
                </c:pt>
                <c:pt idx="15">
                  <c:v>#N/A</c:v>
                </c:pt>
                <c:pt idx="16">
                  <c:v>#N/A</c:v>
                </c:pt>
                <c:pt idx="17">
                  <c:v>#N/A</c:v>
                </c:pt>
                <c:pt idx="18">
                  <c:v>#N/A</c:v>
                </c:pt>
                <c:pt idx="19">
                  <c:v>#N/A</c:v>
                </c:pt>
                <c:pt idx="20">
                  <c:v>#N/A</c:v>
                </c:pt>
              </c:numCache>
            </c:numRef>
          </c:val>
          <c:smooth val="0"/>
          <c:extLst>
            <c:ext xmlns:c16="http://schemas.microsoft.com/office/drawing/2014/chart" uri="{C3380CC4-5D6E-409C-BE32-E72D297353CC}">
              <c16:uniqueId val="{00000002-4507-3F42-A5B3-75ED71F39B5B}"/>
            </c:ext>
          </c:extLst>
        </c:ser>
        <c:dLbls>
          <c:showLegendKey val="0"/>
          <c:showVal val="0"/>
          <c:showCatName val="0"/>
          <c:showSerName val="0"/>
          <c:showPercent val="0"/>
          <c:showBubbleSize val="0"/>
        </c:dLbls>
        <c:marker val="1"/>
        <c:smooth val="0"/>
        <c:axId val="331260176"/>
        <c:axId val="354624240"/>
      </c:lineChart>
      <c:catAx>
        <c:axId val="33126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624240"/>
        <c:crosses val="autoZero"/>
        <c:auto val="1"/>
        <c:lblAlgn val="ctr"/>
        <c:lblOffset val="100"/>
        <c:noMultiLvlLbl val="0"/>
      </c:catAx>
      <c:valAx>
        <c:axId val="354624240"/>
        <c:scaling>
          <c:orientation val="minMax"/>
        </c:scaling>
        <c:delete val="1"/>
        <c:axPos val="l"/>
        <c:numFmt formatCode="0%" sourceLinked="1"/>
        <c:majorTickMark val="none"/>
        <c:minorTickMark val="none"/>
        <c:tickLblPos val="nextTo"/>
        <c:crossAx val="331260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[Email Campaign &amp; Audience Analysis Dashboard copy.xlsx]Sector!PivotTable2</c:name>
    <c:fmtId val="6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GB" sz="1600" b="1" i="0" u="none" strike="noStrike" baseline="0"/>
              <a:t>Biotechnology Represents a Minority </a:t>
            </a:r>
          </a:p>
          <a:p>
            <a:pPr>
              <a:defRPr>
                <a:solidFill>
                  <a:schemeClr val="tx1"/>
                </a:solidFill>
              </a:defRPr>
            </a:pPr>
            <a:r>
              <a:rPr lang="en-GB" sz="1600" b="1" i="0" u="none" strike="noStrike" baseline="0"/>
              <a:t>of the Audience</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C000"/>
          </a:solidFill>
          <a:ln>
            <a:noFill/>
          </a:ln>
          <a:effectLst>
            <a:outerShdw blurRad="317500" algn="ctr" rotWithShape="0">
              <a:prstClr val="black">
                <a:alpha val="25000"/>
              </a:prstClr>
            </a:outerShdw>
          </a:effectLst>
        </c:spPr>
      </c:pivotFmt>
      <c:pivotFmt>
        <c:idx val="2"/>
        <c:spPr>
          <a:solidFill>
            <a:schemeClr val="bg1">
              <a:lumMod val="75000"/>
            </a:schemeClr>
          </a:solidFill>
          <a:ln>
            <a:noFill/>
          </a:ln>
          <a:effectLst>
            <a:outerShdw blurRad="317500" algn="ctr" rotWithShape="0">
              <a:prstClr val="black">
                <a:alpha val="25000"/>
              </a:prstClr>
            </a:outerShdw>
          </a:effectLst>
        </c:spPr>
      </c:pivotFmt>
      <c:pivotFmt>
        <c:idx val="3"/>
        <c:spPr>
          <a:solidFill>
            <a:schemeClr val="accent4">
              <a:lumMod val="75000"/>
            </a:schemeClr>
          </a:solidFill>
          <a:ln>
            <a:noFill/>
          </a:ln>
          <a:effectLst>
            <a:outerShdw blurRad="317500" algn="ctr" rotWithShape="0">
              <a:prstClr val="black">
                <a:alpha val="25000"/>
              </a:prstClr>
            </a:outerShdw>
          </a:effectLst>
        </c:spPr>
      </c:pivotFmt>
      <c:pivotFmt>
        <c:idx val="4"/>
        <c:spPr>
          <a:solidFill>
            <a:srgbClr val="FF654D"/>
          </a:solidFill>
          <a:ln>
            <a:noFill/>
          </a:ln>
          <a:effectLst>
            <a:outerShdw blurRad="317500" algn="ctr" rotWithShape="0">
              <a:prstClr val="black">
                <a:alpha val="25000"/>
              </a:prstClr>
            </a:outerShdw>
          </a:effectLst>
        </c:spPr>
      </c:pivotFmt>
      <c:pivotFmt>
        <c:idx val="5"/>
        <c:spPr>
          <a:solidFill>
            <a:srgbClr val="7030A0"/>
          </a:solidFill>
          <a:ln>
            <a:noFill/>
          </a:ln>
          <a:effectLst>
            <a:outerShdw blurRad="317500" algn="ctr" rotWithShape="0">
              <a:prstClr val="black">
                <a:alpha val="25000"/>
              </a:prstClr>
            </a:outerShdw>
          </a:effectLst>
        </c:spPr>
      </c:pivotFmt>
      <c:pivotFmt>
        <c:idx val="6"/>
        <c:spPr>
          <a:solidFill>
            <a:schemeClr val="accent6">
              <a:lumMod val="60000"/>
              <a:lumOff val="40000"/>
            </a:schemeClr>
          </a:solidFill>
          <a:ln>
            <a:noFill/>
          </a:ln>
          <a:effectLst>
            <a:outerShdw blurRad="317500" algn="ctr" rotWithShape="0">
              <a:prstClr val="black">
                <a:alpha val="25000"/>
              </a:prstClr>
            </a:outerShdw>
          </a:effectLst>
        </c:spPr>
      </c:pivotFmt>
      <c:pivotFmt>
        <c:idx val="7"/>
        <c:spPr>
          <a:solidFill>
            <a:srgbClr val="00B050"/>
          </a:solidFill>
          <a:ln>
            <a:noFill/>
          </a:ln>
          <a:effectLst>
            <a:outerShdw blurRad="317500" algn="ctr" rotWithShape="0">
              <a:prstClr val="black">
                <a:alpha val="25000"/>
              </a:prstClr>
            </a:outerShdw>
          </a:effectLst>
        </c:spPr>
      </c:pivotFmt>
      <c:pivotFmt>
        <c:idx val="8"/>
        <c:spPr>
          <a:solidFill>
            <a:schemeClr val="accent5">
              <a:lumMod val="60000"/>
              <a:lumOff val="40000"/>
            </a:schemeClr>
          </a:solidFill>
          <a:ln>
            <a:noFill/>
          </a:ln>
          <a:effectLst>
            <a:outerShdw blurRad="317500" algn="ctr" rotWithShape="0">
              <a:prstClr val="black">
                <a:alpha val="25000"/>
              </a:prstClr>
            </a:outerShdw>
          </a:effectLst>
        </c:spPr>
      </c:pivotFmt>
      <c:pivotFmt>
        <c:idx val="9"/>
        <c:spPr>
          <a:solidFill>
            <a:schemeClr val="accent2">
              <a:lumMod val="75000"/>
            </a:schemeClr>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a:outerShdw blurRad="317500" algn="ctr" rotWithShape="0">
              <a:prstClr val="black">
                <a:alpha val="25000"/>
              </a:prstClr>
            </a:outerShdw>
          </a:effectLst>
        </c:spPr>
      </c:pivotFmt>
      <c:pivotFmt>
        <c:idx val="12"/>
        <c:spPr>
          <a:solidFill>
            <a:srgbClr val="00B050"/>
          </a:solidFill>
          <a:ln>
            <a:noFill/>
          </a:ln>
          <a:effectLst>
            <a:outerShdw blurRad="317500" algn="ctr" rotWithShape="0">
              <a:prstClr val="black">
                <a:alpha val="25000"/>
              </a:prstClr>
            </a:outerShdw>
          </a:effectLst>
        </c:spPr>
      </c:pivotFmt>
      <c:pivotFmt>
        <c:idx val="13"/>
        <c:spPr>
          <a:solidFill>
            <a:srgbClr val="FFC000"/>
          </a:solidFill>
          <a:ln>
            <a:noFill/>
          </a:ln>
          <a:effectLst>
            <a:outerShdw blurRad="317500" algn="ctr" rotWithShape="0">
              <a:prstClr val="black">
                <a:alpha val="25000"/>
              </a:prstClr>
            </a:outerShdw>
          </a:effectLst>
        </c:spPr>
      </c:pivotFmt>
      <c:pivotFmt>
        <c:idx val="14"/>
        <c:spPr>
          <a:solidFill>
            <a:schemeClr val="accent2">
              <a:lumMod val="75000"/>
            </a:schemeClr>
          </a:solidFill>
          <a:ln>
            <a:noFill/>
          </a:ln>
          <a:effectLst>
            <a:outerShdw blurRad="317500" algn="ctr" rotWithShape="0">
              <a:prstClr val="black">
                <a:alpha val="25000"/>
              </a:prstClr>
            </a:outerShdw>
          </a:effectLst>
        </c:spPr>
      </c:pivotFmt>
      <c:pivotFmt>
        <c:idx val="15"/>
        <c:spPr>
          <a:solidFill>
            <a:schemeClr val="accent4">
              <a:lumMod val="75000"/>
            </a:schemeClr>
          </a:solidFill>
          <a:ln>
            <a:noFill/>
          </a:ln>
          <a:effectLst>
            <a:outerShdw blurRad="317500" algn="ctr" rotWithShape="0">
              <a:prstClr val="black">
                <a:alpha val="25000"/>
              </a:prstClr>
            </a:outerShdw>
          </a:effectLst>
        </c:spPr>
      </c:pivotFmt>
      <c:pivotFmt>
        <c:idx val="16"/>
        <c:spPr>
          <a:solidFill>
            <a:schemeClr val="accent5">
              <a:lumMod val="60000"/>
              <a:lumOff val="40000"/>
            </a:schemeClr>
          </a:solidFill>
          <a:ln>
            <a:noFill/>
          </a:ln>
          <a:effectLst>
            <a:outerShdw blurRad="317500" algn="ctr" rotWithShape="0">
              <a:prstClr val="black">
                <a:alpha val="25000"/>
              </a:prstClr>
            </a:outerShdw>
          </a:effectLst>
        </c:spPr>
      </c:pivotFmt>
      <c:pivotFmt>
        <c:idx val="17"/>
        <c:spPr>
          <a:solidFill>
            <a:srgbClr val="FF654D"/>
          </a:solidFill>
          <a:ln>
            <a:noFill/>
          </a:ln>
          <a:effectLst>
            <a:outerShdw blurRad="317500" algn="ctr" rotWithShape="0">
              <a:prstClr val="black">
                <a:alpha val="25000"/>
              </a:prstClr>
            </a:outerShdw>
          </a:effectLst>
        </c:spPr>
      </c:pivotFmt>
      <c:pivotFmt>
        <c:idx val="18"/>
        <c:spPr>
          <a:solidFill>
            <a:srgbClr val="7030A0"/>
          </a:solidFill>
          <a:ln>
            <a:noFill/>
          </a:ln>
          <a:effectLst>
            <a:outerShdw blurRad="317500" algn="ctr" rotWithShape="0">
              <a:prstClr val="black">
                <a:alpha val="25000"/>
              </a:prstClr>
            </a:outerShdw>
          </a:effectLst>
        </c:spPr>
      </c:pivotFmt>
      <c:pivotFmt>
        <c:idx val="19"/>
        <c:spPr>
          <a:solidFill>
            <a:schemeClr val="bg1">
              <a:lumMod val="75000"/>
            </a:schemeClr>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a:outerShdw blurRad="317500" algn="ctr" rotWithShape="0">
              <a:prstClr val="black">
                <a:alpha val="25000"/>
              </a:prstClr>
            </a:outerShdw>
          </a:effectLst>
        </c:spPr>
      </c:pivotFmt>
      <c:pivotFmt>
        <c:idx val="22"/>
        <c:spPr>
          <a:solidFill>
            <a:srgbClr val="00B050"/>
          </a:solidFill>
          <a:ln>
            <a:noFill/>
          </a:ln>
          <a:effectLst>
            <a:outerShdw blurRad="317500" algn="ctr" rotWithShape="0">
              <a:prstClr val="black">
                <a:alpha val="25000"/>
              </a:prstClr>
            </a:outerShdw>
          </a:effectLst>
        </c:spPr>
      </c:pivotFmt>
      <c:pivotFmt>
        <c:idx val="23"/>
        <c:spPr>
          <a:solidFill>
            <a:srgbClr val="941100"/>
          </a:solidFill>
          <a:ln>
            <a:noFill/>
          </a:ln>
          <a:effectLst>
            <a:outerShdw blurRad="317500" algn="ctr" rotWithShape="0">
              <a:prstClr val="black">
                <a:alpha val="25000"/>
              </a:prstClr>
            </a:outerShdw>
          </a:effectLst>
        </c:spPr>
      </c:pivotFmt>
      <c:pivotFmt>
        <c:idx val="24"/>
        <c:spPr>
          <a:solidFill>
            <a:schemeClr val="accent2">
              <a:lumMod val="75000"/>
            </a:schemeClr>
          </a:solidFill>
          <a:ln>
            <a:noFill/>
          </a:ln>
          <a:effectLst>
            <a:outerShdw blurRad="317500" algn="ctr" rotWithShape="0">
              <a:prstClr val="black">
                <a:alpha val="25000"/>
              </a:prstClr>
            </a:outerShdw>
          </a:effectLst>
        </c:spPr>
      </c:pivotFmt>
      <c:pivotFmt>
        <c:idx val="25"/>
        <c:spPr>
          <a:solidFill>
            <a:schemeClr val="accent4">
              <a:lumMod val="60000"/>
              <a:lumOff val="40000"/>
            </a:schemeClr>
          </a:solidFill>
          <a:ln>
            <a:noFill/>
          </a:ln>
          <a:effectLst>
            <a:outerShdw blurRad="317500" algn="ctr" rotWithShape="0">
              <a:prstClr val="black">
                <a:alpha val="25000"/>
              </a:prstClr>
            </a:outerShdw>
          </a:effectLst>
        </c:spPr>
      </c:pivotFmt>
      <c:pivotFmt>
        <c:idx val="26"/>
        <c:spPr>
          <a:solidFill>
            <a:schemeClr val="accent5">
              <a:lumMod val="60000"/>
              <a:lumOff val="40000"/>
            </a:schemeClr>
          </a:solidFill>
          <a:ln>
            <a:noFill/>
          </a:ln>
          <a:effectLst>
            <a:outerShdw blurRad="317500" algn="ctr" rotWithShape="0">
              <a:prstClr val="black">
                <a:alpha val="25000"/>
              </a:prstClr>
            </a:outerShdw>
          </a:effectLst>
        </c:spPr>
      </c:pivotFmt>
      <c:pivotFmt>
        <c:idx val="27"/>
        <c:spPr>
          <a:solidFill>
            <a:srgbClr val="FF654D"/>
          </a:solidFill>
          <a:ln>
            <a:noFill/>
          </a:ln>
          <a:effectLst>
            <a:outerShdw blurRad="317500" algn="ctr" rotWithShape="0">
              <a:prstClr val="black">
                <a:alpha val="25000"/>
              </a:prstClr>
            </a:outerShdw>
          </a:effectLst>
        </c:spPr>
      </c:pivotFmt>
      <c:pivotFmt>
        <c:idx val="28"/>
        <c:spPr>
          <a:solidFill>
            <a:srgbClr val="7030A0"/>
          </a:solidFill>
          <a:ln>
            <a:noFill/>
          </a:ln>
          <a:effectLst>
            <a:outerShdw blurRad="317500" algn="ctr" rotWithShape="0">
              <a:prstClr val="black">
                <a:alpha val="25000"/>
              </a:prstClr>
            </a:outerShdw>
          </a:effectLst>
        </c:spPr>
      </c:pivotFmt>
      <c:pivotFmt>
        <c:idx val="29"/>
        <c:spPr>
          <a:solidFill>
            <a:schemeClr val="bg1">
              <a:lumMod val="75000"/>
            </a:schemeClr>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6">
              <a:lumMod val="60000"/>
              <a:lumOff val="40000"/>
            </a:schemeClr>
          </a:solidFill>
          <a:ln>
            <a:noFill/>
          </a:ln>
          <a:effectLst>
            <a:outerShdw blurRad="317500" algn="ctr" rotWithShape="0">
              <a:prstClr val="black">
                <a:alpha val="25000"/>
              </a:prstClr>
            </a:outerShdw>
          </a:effectLst>
        </c:spPr>
      </c:pivotFmt>
      <c:pivotFmt>
        <c:idx val="32"/>
        <c:spPr>
          <a:solidFill>
            <a:srgbClr val="00B050"/>
          </a:solidFill>
          <a:ln>
            <a:noFill/>
          </a:ln>
          <a:effectLst>
            <a:outerShdw blurRad="317500" algn="ctr" rotWithShape="0">
              <a:prstClr val="black">
                <a:alpha val="25000"/>
              </a:prstClr>
            </a:outerShdw>
          </a:effectLst>
        </c:spPr>
      </c:pivotFmt>
      <c:pivotFmt>
        <c:idx val="33"/>
        <c:spPr>
          <a:solidFill>
            <a:srgbClr val="941100"/>
          </a:solidFill>
          <a:ln>
            <a:noFill/>
          </a:ln>
          <a:effectLst>
            <a:outerShdw blurRad="317500" algn="ctr" rotWithShape="0">
              <a:prstClr val="black">
                <a:alpha val="25000"/>
              </a:prstClr>
            </a:outerShdw>
          </a:effectLst>
        </c:spPr>
      </c:pivotFmt>
      <c:pivotFmt>
        <c:idx val="34"/>
        <c:spPr>
          <a:solidFill>
            <a:schemeClr val="accent2">
              <a:lumMod val="75000"/>
            </a:schemeClr>
          </a:solidFill>
          <a:ln>
            <a:noFill/>
          </a:ln>
          <a:effectLst>
            <a:outerShdw blurRad="317500" algn="ctr" rotWithShape="0">
              <a:prstClr val="black">
                <a:alpha val="25000"/>
              </a:prstClr>
            </a:outerShdw>
          </a:effectLst>
        </c:spPr>
      </c:pivotFmt>
      <c:pivotFmt>
        <c:idx val="35"/>
        <c:spPr>
          <a:solidFill>
            <a:schemeClr val="accent4">
              <a:lumMod val="60000"/>
              <a:lumOff val="40000"/>
            </a:schemeClr>
          </a:solidFill>
          <a:ln>
            <a:noFill/>
          </a:ln>
          <a:effectLst>
            <a:outerShdw blurRad="317500" algn="ctr" rotWithShape="0">
              <a:prstClr val="black">
                <a:alpha val="25000"/>
              </a:prstClr>
            </a:outerShdw>
          </a:effectLst>
        </c:spPr>
      </c:pivotFmt>
      <c:pivotFmt>
        <c:idx val="36"/>
        <c:spPr>
          <a:solidFill>
            <a:schemeClr val="accent5">
              <a:lumMod val="60000"/>
              <a:lumOff val="40000"/>
            </a:schemeClr>
          </a:solidFill>
          <a:ln>
            <a:noFill/>
          </a:ln>
          <a:effectLst>
            <a:outerShdw blurRad="317500" algn="ctr" rotWithShape="0">
              <a:prstClr val="black">
                <a:alpha val="25000"/>
              </a:prstClr>
            </a:outerShdw>
          </a:effectLst>
        </c:spPr>
      </c:pivotFmt>
      <c:pivotFmt>
        <c:idx val="37"/>
        <c:spPr>
          <a:solidFill>
            <a:srgbClr val="FF654D"/>
          </a:solidFill>
          <a:ln>
            <a:noFill/>
          </a:ln>
          <a:effectLst>
            <a:outerShdw blurRad="317500" algn="ctr" rotWithShape="0">
              <a:prstClr val="black">
                <a:alpha val="25000"/>
              </a:prstClr>
            </a:outerShdw>
          </a:effectLst>
        </c:spPr>
      </c:pivotFmt>
      <c:pivotFmt>
        <c:idx val="38"/>
        <c:spPr>
          <a:solidFill>
            <a:srgbClr val="7030A0"/>
          </a:solidFill>
          <a:ln>
            <a:noFill/>
          </a:ln>
          <a:effectLst>
            <a:outerShdw blurRad="317500" algn="ctr" rotWithShape="0">
              <a:prstClr val="black">
                <a:alpha val="25000"/>
              </a:prstClr>
            </a:outerShdw>
          </a:effectLst>
        </c:spPr>
      </c:pivotFmt>
      <c:pivotFmt>
        <c:idx val="39"/>
        <c:spPr>
          <a:solidFill>
            <a:schemeClr val="bg1">
              <a:lumMod val="75000"/>
            </a:schemeClr>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lumMod val="60000"/>
              <a:lumOff val="40000"/>
            </a:schemeClr>
          </a:solidFill>
          <a:ln>
            <a:noFill/>
          </a:ln>
          <a:effectLst>
            <a:outerShdw blurRad="317500" algn="ctr" rotWithShape="0">
              <a:prstClr val="black">
                <a:alpha val="25000"/>
              </a:prstClr>
            </a:outerShdw>
          </a:effectLst>
        </c:spPr>
      </c:pivotFmt>
      <c:pivotFmt>
        <c:idx val="42"/>
        <c:spPr>
          <a:solidFill>
            <a:srgbClr val="00B050"/>
          </a:solidFill>
          <a:ln>
            <a:noFill/>
          </a:ln>
          <a:effectLst>
            <a:outerShdw blurRad="317500" algn="ctr" rotWithShape="0">
              <a:prstClr val="black">
                <a:alpha val="25000"/>
              </a:prstClr>
            </a:outerShdw>
          </a:effectLst>
        </c:spPr>
      </c:pivotFmt>
      <c:pivotFmt>
        <c:idx val="43"/>
        <c:spPr>
          <a:solidFill>
            <a:srgbClr val="941100"/>
          </a:solidFill>
          <a:ln>
            <a:noFill/>
          </a:ln>
          <a:effectLst>
            <a:outerShdw blurRad="317500" algn="ctr" rotWithShape="0">
              <a:prstClr val="black">
                <a:alpha val="25000"/>
              </a:prstClr>
            </a:outerShdw>
          </a:effectLst>
        </c:spPr>
      </c:pivotFmt>
      <c:pivotFmt>
        <c:idx val="44"/>
        <c:spPr>
          <a:solidFill>
            <a:schemeClr val="accent2">
              <a:lumMod val="75000"/>
            </a:schemeClr>
          </a:solidFill>
          <a:ln>
            <a:noFill/>
          </a:ln>
          <a:effectLst>
            <a:outerShdw blurRad="317500" algn="ctr" rotWithShape="0">
              <a:prstClr val="black">
                <a:alpha val="25000"/>
              </a:prstClr>
            </a:outerShdw>
          </a:effectLst>
        </c:spPr>
      </c:pivotFmt>
      <c:pivotFmt>
        <c:idx val="45"/>
        <c:spPr>
          <a:solidFill>
            <a:schemeClr val="accent4">
              <a:lumMod val="60000"/>
              <a:lumOff val="40000"/>
            </a:schemeClr>
          </a:solidFill>
          <a:ln>
            <a:noFill/>
          </a:ln>
          <a:effectLst>
            <a:outerShdw blurRad="317500" algn="ctr" rotWithShape="0">
              <a:prstClr val="black">
                <a:alpha val="25000"/>
              </a:prstClr>
            </a:outerShdw>
          </a:effectLst>
        </c:spPr>
      </c:pivotFmt>
      <c:pivotFmt>
        <c:idx val="46"/>
        <c:spPr>
          <a:solidFill>
            <a:schemeClr val="accent5">
              <a:lumMod val="60000"/>
              <a:lumOff val="40000"/>
            </a:schemeClr>
          </a:solidFill>
          <a:ln>
            <a:noFill/>
          </a:ln>
          <a:effectLst>
            <a:outerShdw blurRad="317500" algn="ctr" rotWithShape="0">
              <a:prstClr val="black">
                <a:alpha val="25000"/>
              </a:prstClr>
            </a:outerShdw>
          </a:effectLst>
        </c:spPr>
      </c:pivotFmt>
      <c:pivotFmt>
        <c:idx val="47"/>
        <c:spPr>
          <a:solidFill>
            <a:srgbClr val="FF654D"/>
          </a:solidFill>
          <a:ln>
            <a:noFill/>
          </a:ln>
          <a:effectLst>
            <a:outerShdw blurRad="317500" algn="ctr" rotWithShape="0">
              <a:prstClr val="black">
                <a:alpha val="25000"/>
              </a:prstClr>
            </a:outerShdw>
          </a:effectLst>
        </c:spPr>
      </c:pivotFmt>
      <c:pivotFmt>
        <c:idx val="48"/>
        <c:spPr>
          <a:solidFill>
            <a:srgbClr val="7030A0"/>
          </a:solidFill>
          <a:ln>
            <a:noFill/>
          </a:ln>
          <a:effectLst>
            <a:outerShdw blurRad="317500" algn="ctr" rotWithShape="0">
              <a:prstClr val="black">
                <a:alpha val="25000"/>
              </a:prstClr>
            </a:outerShdw>
          </a:effectLst>
        </c:spPr>
      </c:pivotFmt>
      <c:pivotFmt>
        <c:idx val="49"/>
        <c:spPr>
          <a:solidFill>
            <a:schemeClr val="bg1">
              <a:lumMod val="75000"/>
            </a:schemeClr>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51"/>
        <c:spPr>
          <a:solidFill>
            <a:schemeClr val="accent2"/>
          </a:solidFill>
          <a:ln cmpd="sng">
            <a:noFill/>
          </a:ln>
          <a:effectLst>
            <a:glow>
              <a:schemeClr val="accent1">
                <a:alpha val="40000"/>
              </a:schemeClr>
            </a:glow>
          </a:effectLst>
          <a:scene3d>
            <a:camera prst="orthographicFront"/>
            <a:lightRig rig="threePt" dir="t"/>
          </a:scene3d>
          <a:sp3d prstMaterial="metal">
            <a:bevelT w="12700"/>
            <a:bevelB w="12700"/>
          </a:sp3d>
        </c:spPr>
      </c:pivotFmt>
      <c:pivotFmt>
        <c:idx val="52"/>
        <c:spPr>
          <a:solidFill>
            <a:schemeClr val="bg1">
              <a:lumMod val="95000"/>
            </a:schemeClr>
          </a:solidFill>
          <a:ln>
            <a:noFill/>
          </a:ln>
          <a:effectLst>
            <a:outerShdw blurRad="317500" algn="ctr" rotWithShape="0">
              <a:prstClr val="black">
                <a:alpha val="25000"/>
              </a:prstClr>
            </a:outerShdw>
          </a:effectLst>
        </c:spPr>
      </c:pivotFmt>
      <c:pivotFmt>
        <c:idx val="53"/>
        <c:spPr>
          <a:solidFill>
            <a:schemeClr val="bg1">
              <a:lumMod val="85000"/>
            </a:schemeClr>
          </a:solidFill>
          <a:ln>
            <a:noFill/>
          </a:ln>
          <a:effectLst>
            <a:outerShdw blurRad="317500" algn="ctr" rotWithShape="0">
              <a:prstClr val="black">
                <a:alpha val="25000"/>
              </a:prstClr>
            </a:outerShdw>
          </a:effectLst>
        </c:spPr>
      </c:pivotFmt>
      <c:pivotFmt>
        <c:idx val="54"/>
        <c:spPr>
          <a:solidFill>
            <a:srgbClr val="FFC000"/>
          </a:solidFill>
          <a:ln>
            <a:noFill/>
          </a:ln>
          <a:effectLst>
            <a:outerShdw blurRad="317500" algn="ctr" rotWithShape="0">
              <a:prstClr val="black">
                <a:alpha val="25000"/>
              </a:prstClr>
            </a:outerShdw>
          </a:effectLst>
        </c:spPr>
      </c:pivotFmt>
      <c:pivotFmt>
        <c:idx val="55"/>
        <c:spPr>
          <a:solidFill>
            <a:srgbClr val="C00000"/>
          </a:solidFill>
          <a:ln>
            <a:noFill/>
          </a:ln>
          <a:effectLst>
            <a:outerShdw blurRad="317500" algn="ctr" rotWithShape="0">
              <a:prstClr val="black">
                <a:alpha val="25000"/>
              </a:prstClr>
            </a:outerShdw>
          </a:effectLst>
        </c:spPr>
      </c:pivotFmt>
      <c:pivotFmt>
        <c:idx val="56"/>
        <c:spPr>
          <a:solidFill>
            <a:schemeClr val="accent5">
              <a:lumMod val="20000"/>
              <a:lumOff val="80000"/>
            </a:schemeClr>
          </a:solidFill>
          <a:ln>
            <a:noFill/>
          </a:ln>
          <a:effectLst>
            <a:outerShdw blurRad="317500" algn="ctr" rotWithShape="0">
              <a:prstClr val="black">
                <a:alpha val="25000"/>
              </a:prstClr>
            </a:outerShdw>
          </a:effectLst>
        </c:spPr>
      </c:pivotFmt>
      <c:pivotFmt>
        <c:idx val="57"/>
        <c:spPr>
          <a:solidFill>
            <a:schemeClr val="accent6">
              <a:lumMod val="75000"/>
            </a:schemeClr>
          </a:solidFill>
          <a:ln>
            <a:noFill/>
          </a:ln>
          <a:effectLst>
            <a:outerShdw blurRad="317500" algn="ctr" rotWithShape="0">
              <a:prstClr val="black">
                <a:alpha val="25000"/>
              </a:prstClr>
            </a:outerShdw>
          </a:effectLst>
        </c:spPr>
      </c:pivotFmt>
      <c:pivotFmt>
        <c:idx val="58"/>
        <c:spPr>
          <a:solidFill>
            <a:srgbClr val="F3D0EE"/>
          </a:solidFill>
          <a:ln>
            <a:noFill/>
          </a:ln>
          <a:effectLst>
            <a:outerShdw blurRad="317500" algn="ctr" rotWithShape="0">
              <a:prstClr val="black">
                <a:alpha val="25000"/>
              </a:prstClr>
            </a:outerShdw>
          </a:effectLst>
        </c:spPr>
      </c:pivotFmt>
      <c:pivotFmt>
        <c:idx val="59"/>
        <c:spPr>
          <a:solidFill>
            <a:schemeClr val="accent5">
              <a:lumMod val="75000"/>
            </a:schemeClr>
          </a:solidFill>
          <a:ln>
            <a:noFill/>
          </a:ln>
          <a:effectLst>
            <a:outerShdw blurRad="317500" algn="ctr" rotWithShape="0">
              <a:prstClr val="black">
                <a:alpha val="25000"/>
              </a:prstClr>
            </a:outerShdw>
          </a:effectLst>
        </c:spPr>
      </c:pivotFmt>
      <c:pivotFmt>
        <c:idx val="60"/>
        <c:spPr>
          <a:solidFill>
            <a:schemeClr val="accent4">
              <a:lumMod val="50000"/>
            </a:schemeClr>
          </a:solidFill>
          <a:ln>
            <a:noFill/>
          </a:ln>
          <a:effectLst>
            <a:outerShdw blurRad="317500" algn="ctr" rotWithShape="0">
              <a:prstClr val="black">
                <a:alpha val="25000"/>
              </a:prstClr>
            </a:outerShdw>
          </a:effectLst>
        </c:spPr>
      </c:pivotFmt>
      <c:pivotFmt>
        <c:idx val="6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62"/>
        <c:spPr>
          <a:solidFill>
            <a:srgbClr val="C00000"/>
          </a:solidFill>
          <a:ln>
            <a:noFill/>
          </a:ln>
          <a:effectLst>
            <a:outerShdw blurRad="317500" algn="ctr" rotWithShape="0">
              <a:prstClr val="black">
                <a:alpha val="25000"/>
              </a:prstClr>
            </a:outerShdw>
          </a:effectLst>
        </c:spPr>
      </c:pivotFmt>
      <c:pivotFmt>
        <c:idx val="63"/>
        <c:spPr>
          <a:solidFill>
            <a:srgbClr val="FFC000"/>
          </a:solidFill>
          <a:ln>
            <a:noFill/>
          </a:ln>
          <a:effectLst>
            <a:outerShdw blurRad="317500" algn="ctr" rotWithShape="0">
              <a:prstClr val="black">
                <a:alpha val="25000"/>
              </a:prstClr>
            </a:outerShdw>
          </a:effectLst>
        </c:spPr>
      </c:pivotFmt>
      <c:pivotFmt>
        <c:idx val="64"/>
        <c:spPr>
          <a:solidFill>
            <a:schemeClr val="accent2"/>
          </a:solidFill>
          <a:ln cmpd="sng">
            <a:noFill/>
          </a:ln>
          <a:effectLst>
            <a:glow>
              <a:schemeClr val="accent1">
                <a:alpha val="40000"/>
              </a:schemeClr>
            </a:glow>
          </a:effectLst>
          <a:scene3d>
            <a:camera prst="orthographicFront"/>
            <a:lightRig rig="threePt" dir="t"/>
          </a:scene3d>
          <a:sp3d prstMaterial="metal">
            <a:bevelT w="12700"/>
            <a:bevelB w="12700"/>
          </a:sp3d>
        </c:spPr>
      </c:pivotFmt>
      <c:pivotFmt>
        <c:idx val="65"/>
        <c:spPr>
          <a:solidFill>
            <a:schemeClr val="accent4">
              <a:lumMod val="50000"/>
            </a:schemeClr>
          </a:solidFill>
          <a:ln>
            <a:noFill/>
          </a:ln>
          <a:effectLst>
            <a:outerShdw blurRad="317500" algn="ctr" rotWithShape="0">
              <a:prstClr val="black">
                <a:alpha val="25000"/>
              </a:prstClr>
            </a:outerShdw>
          </a:effectLst>
        </c:spPr>
      </c:pivotFmt>
      <c:pivotFmt>
        <c:idx val="66"/>
        <c:spPr>
          <a:solidFill>
            <a:schemeClr val="accent5">
              <a:lumMod val="20000"/>
              <a:lumOff val="80000"/>
            </a:schemeClr>
          </a:solidFill>
          <a:ln>
            <a:noFill/>
          </a:ln>
          <a:effectLst>
            <a:outerShdw blurRad="317500" algn="ctr" rotWithShape="0">
              <a:prstClr val="black">
                <a:alpha val="25000"/>
              </a:prstClr>
            </a:outerShdw>
          </a:effectLst>
        </c:spPr>
      </c:pivotFmt>
      <c:pivotFmt>
        <c:idx val="67"/>
        <c:spPr>
          <a:solidFill>
            <a:schemeClr val="accent6">
              <a:lumMod val="75000"/>
            </a:schemeClr>
          </a:solidFill>
          <a:ln>
            <a:noFill/>
          </a:ln>
          <a:effectLst>
            <a:outerShdw blurRad="317500" algn="ctr" rotWithShape="0">
              <a:prstClr val="black">
                <a:alpha val="25000"/>
              </a:prstClr>
            </a:outerShdw>
          </a:effectLst>
        </c:spPr>
      </c:pivotFmt>
      <c:pivotFmt>
        <c:idx val="68"/>
        <c:spPr>
          <a:solidFill>
            <a:srgbClr val="F3D0EE"/>
          </a:solidFill>
          <a:ln>
            <a:noFill/>
          </a:ln>
          <a:effectLst>
            <a:outerShdw blurRad="317500" algn="ctr" rotWithShape="0">
              <a:prstClr val="black">
                <a:alpha val="25000"/>
              </a:prstClr>
            </a:outerShdw>
          </a:effectLst>
        </c:spPr>
      </c:pivotFmt>
      <c:pivotFmt>
        <c:idx val="69"/>
        <c:spPr>
          <a:solidFill>
            <a:schemeClr val="accent5">
              <a:lumMod val="75000"/>
            </a:schemeClr>
          </a:solidFill>
          <a:ln>
            <a:noFill/>
          </a:ln>
          <a:effectLst>
            <a:outerShdw blurRad="317500" algn="ctr" rotWithShape="0">
              <a:prstClr val="black">
                <a:alpha val="25000"/>
              </a:prstClr>
            </a:outerShdw>
          </a:effectLst>
        </c:spPr>
      </c:pivotFmt>
      <c:pivotFmt>
        <c:idx val="70"/>
        <c:spPr>
          <a:solidFill>
            <a:schemeClr val="bg1">
              <a:lumMod val="95000"/>
            </a:schemeClr>
          </a:solidFill>
          <a:ln>
            <a:noFill/>
          </a:ln>
          <a:effectLst>
            <a:outerShdw blurRad="317500" algn="ctr" rotWithShape="0">
              <a:prstClr val="black">
                <a:alpha val="25000"/>
              </a:prstClr>
            </a:outerShdw>
          </a:effectLst>
        </c:spPr>
      </c:pivotFmt>
      <c:pivotFmt>
        <c:idx val="71"/>
        <c:spPr>
          <a:solidFill>
            <a:schemeClr val="bg1">
              <a:lumMod val="85000"/>
            </a:schemeClr>
          </a:solidFill>
          <a:ln>
            <a:noFill/>
          </a:ln>
          <a:effectLst>
            <a:outerShdw blurRad="317500" algn="ctr" rotWithShape="0">
              <a:prstClr val="black">
                <a:alpha val="25000"/>
              </a:prstClr>
            </a:outerShdw>
          </a:effectLst>
        </c:spPr>
      </c:pivotFmt>
      <c:pivotFmt>
        <c:idx val="7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73"/>
        <c:spPr>
          <a:solidFill>
            <a:srgbClr val="EA6B63"/>
          </a:solidFill>
          <a:ln>
            <a:noFill/>
          </a:ln>
          <a:effectLst>
            <a:outerShdw blurRad="317500" algn="ctr" rotWithShape="0">
              <a:prstClr val="black">
                <a:alpha val="25000"/>
              </a:prstClr>
            </a:outerShdw>
          </a:effectLst>
        </c:spPr>
      </c:pivotFmt>
      <c:pivotFmt>
        <c:idx val="74"/>
        <c:spPr>
          <a:solidFill>
            <a:srgbClr val="FFC000"/>
          </a:solidFill>
          <a:ln>
            <a:noFill/>
          </a:ln>
          <a:effectLst>
            <a:outerShdw blurRad="317500" algn="ctr" rotWithShape="0">
              <a:prstClr val="black">
                <a:alpha val="25000"/>
              </a:prstClr>
            </a:outerShdw>
          </a:effectLst>
        </c:spPr>
      </c:pivotFmt>
      <c:pivotFmt>
        <c:idx val="75"/>
        <c:spPr>
          <a:solidFill>
            <a:srgbClr val="00B050"/>
          </a:solidFill>
          <a:ln cmpd="sng">
            <a:noFill/>
          </a:ln>
          <a:effectLst>
            <a:glow>
              <a:schemeClr val="accent1">
                <a:alpha val="40000"/>
              </a:schemeClr>
            </a:glow>
          </a:effectLst>
          <a:scene3d>
            <a:camera prst="orthographicFront"/>
            <a:lightRig rig="threePt" dir="t"/>
          </a:scene3d>
          <a:sp3d prstMaterial="metal">
            <a:bevelT w="12700"/>
            <a:bevelB w="12700"/>
          </a:sp3d>
        </c:spPr>
      </c:pivotFmt>
      <c:pivotFmt>
        <c:idx val="76"/>
        <c:spPr>
          <a:solidFill>
            <a:schemeClr val="accent4">
              <a:lumMod val="50000"/>
            </a:schemeClr>
          </a:solidFill>
          <a:ln>
            <a:noFill/>
          </a:ln>
          <a:effectLst>
            <a:outerShdw blurRad="317500" algn="ctr" rotWithShape="0">
              <a:prstClr val="black">
                <a:alpha val="25000"/>
              </a:prstClr>
            </a:outerShdw>
          </a:effectLst>
        </c:spPr>
      </c:pivotFmt>
      <c:pivotFmt>
        <c:idx val="77"/>
        <c:spPr>
          <a:solidFill>
            <a:schemeClr val="accent5">
              <a:lumMod val="20000"/>
              <a:lumOff val="80000"/>
            </a:schemeClr>
          </a:solidFill>
          <a:ln>
            <a:noFill/>
          </a:ln>
          <a:effectLst>
            <a:outerShdw blurRad="317500" algn="ctr" rotWithShape="0">
              <a:prstClr val="black">
                <a:alpha val="25000"/>
              </a:prstClr>
            </a:outerShdw>
          </a:effectLst>
        </c:spPr>
      </c:pivotFmt>
      <c:pivotFmt>
        <c:idx val="78"/>
        <c:spPr>
          <a:solidFill>
            <a:schemeClr val="accent6">
              <a:lumMod val="75000"/>
            </a:schemeClr>
          </a:solidFill>
          <a:ln>
            <a:noFill/>
          </a:ln>
          <a:effectLst>
            <a:outerShdw blurRad="317500" algn="ctr" rotWithShape="0">
              <a:prstClr val="black">
                <a:alpha val="25000"/>
              </a:prstClr>
            </a:outerShdw>
          </a:effectLst>
        </c:spPr>
      </c:pivotFmt>
      <c:pivotFmt>
        <c:idx val="79"/>
        <c:spPr>
          <a:solidFill>
            <a:srgbClr val="F3D0EE"/>
          </a:solidFill>
          <a:ln>
            <a:noFill/>
          </a:ln>
          <a:effectLst>
            <a:outerShdw blurRad="317500" algn="ctr" rotWithShape="0">
              <a:prstClr val="black">
                <a:alpha val="25000"/>
              </a:prstClr>
            </a:outerShdw>
          </a:effectLst>
        </c:spPr>
      </c:pivotFmt>
      <c:pivotFmt>
        <c:idx val="80"/>
        <c:spPr>
          <a:solidFill>
            <a:schemeClr val="accent5">
              <a:lumMod val="75000"/>
            </a:schemeClr>
          </a:solidFill>
          <a:ln>
            <a:noFill/>
          </a:ln>
          <a:effectLst>
            <a:outerShdw blurRad="317500" algn="ctr" rotWithShape="0">
              <a:prstClr val="black">
                <a:alpha val="25000"/>
              </a:prstClr>
            </a:outerShdw>
          </a:effectLst>
        </c:spPr>
      </c:pivotFmt>
      <c:pivotFmt>
        <c:idx val="81"/>
        <c:spPr>
          <a:solidFill>
            <a:schemeClr val="bg1">
              <a:lumMod val="95000"/>
            </a:schemeClr>
          </a:solidFill>
          <a:ln>
            <a:noFill/>
          </a:ln>
          <a:effectLst>
            <a:outerShdw blurRad="317500" algn="ctr" rotWithShape="0">
              <a:prstClr val="black">
                <a:alpha val="25000"/>
              </a:prstClr>
            </a:outerShdw>
          </a:effectLst>
        </c:spPr>
      </c:pivotFmt>
      <c:pivotFmt>
        <c:idx val="82"/>
        <c:spPr>
          <a:solidFill>
            <a:schemeClr val="bg1">
              <a:lumMod val="85000"/>
            </a:schemeClr>
          </a:solidFill>
          <a:ln>
            <a:noFill/>
          </a:ln>
          <a:effectLst>
            <a:outerShdw blurRad="317500" algn="ctr" rotWithShape="0">
              <a:prstClr val="black">
                <a:alpha val="25000"/>
              </a:prstClr>
            </a:outerShdw>
          </a:effectLst>
        </c:spPr>
      </c:pivotFmt>
      <c:pivotFmt>
        <c:idx val="8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84"/>
        <c:spPr>
          <a:solidFill>
            <a:srgbClr val="EA6B63"/>
          </a:solidFill>
          <a:ln>
            <a:noFill/>
          </a:ln>
          <a:effectLst>
            <a:outerShdw blurRad="317500" algn="ctr" rotWithShape="0">
              <a:prstClr val="black">
                <a:alpha val="25000"/>
              </a:prstClr>
            </a:outerShdw>
          </a:effectLst>
        </c:spPr>
      </c:pivotFmt>
      <c:pivotFmt>
        <c:idx val="85"/>
        <c:spPr>
          <a:solidFill>
            <a:srgbClr val="FFC000"/>
          </a:solidFill>
          <a:ln>
            <a:noFill/>
          </a:ln>
          <a:effectLst>
            <a:outerShdw blurRad="317500" algn="ctr" rotWithShape="0">
              <a:prstClr val="black">
                <a:alpha val="25000"/>
              </a:prstClr>
            </a:outerShdw>
          </a:effectLst>
        </c:spPr>
      </c:pivotFmt>
      <c:pivotFmt>
        <c:idx val="86"/>
        <c:spPr>
          <a:solidFill>
            <a:srgbClr val="00B050"/>
          </a:solidFill>
          <a:ln cmpd="sng">
            <a:noFill/>
          </a:ln>
          <a:effectLst>
            <a:glow>
              <a:schemeClr val="accent1">
                <a:alpha val="40000"/>
              </a:schemeClr>
            </a:glow>
          </a:effectLst>
          <a:scene3d>
            <a:camera prst="orthographicFront"/>
            <a:lightRig rig="threePt" dir="t"/>
          </a:scene3d>
          <a:sp3d prstMaterial="metal">
            <a:bevelT w="12700"/>
            <a:bevelB w="12700"/>
          </a:sp3d>
        </c:spPr>
      </c:pivotFmt>
      <c:pivotFmt>
        <c:idx val="87"/>
        <c:spPr>
          <a:solidFill>
            <a:schemeClr val="accent4">
              <a:lumMod val="50000"/>
            </a:schemeClr>
          </a:solidFill>
          <a:ln>
            <a:noFill/>
          </a:ln>
          <a:effectLst>
            <a:outerShdw blurRad="317500" algn="ctr" rotWithShape="0">
              <a:prstClr val="black">
                <a:alpha val="25000"/>
              </a:prstClr>
            </a:outerShdw>
          </a:effectLst>
        </c:spPr>
      </c:pivotFmt>
      <c:pivotFmt>
        <c:idx val="88"/>
        <c:spPr>
          <a:solidFill>
            <a:schemeClr val="accent5">
              <a:lumMod val="20000"/>
              <a:lumOff val="80000"/>
            </a:schemeClr>
          </a:solidFill>
          <a:ln>
            <a:noFill/>
          </a:ln>
          <a:effectLst>
            <a:outerShdw blurRad="317500" algn="ctr" rotWithShape="0">
              <a:prstClr val="black">
                <a:alpha val="25000"/>
              </a:prstClr>
            </a:outerShdw>
          </a:effectLst>
        </c:spPr>
      </c:pivotFmt>
      <c:pivotFmt>
        <c:idx val="89"/>
        <c:spPr>
          <a:solidFill>
            <a:schemeClr val="accent6">
              <a:lumMod val="75000"/>
            </a:schemeClr>
          </a:solidFill>
          <a:ln>
            <a:noFill/>
          </a:ln>
          <a:effectLst>
            <a:outerShdw blurRad="317500" algn="ctr" rotWithShape="0">
              <a:prstClr val="black">
                <a:alpha val="25000"/>
              </a:prstClr>
            </a:outerShdw>
          </a:effectLst>
        </c:spPr>
      </c:pivotFmt>
      <c:pivotFmt>
        <c:idx val="90"/>
        <c:spPr>
          <a:solidFill>
            <a:schemeClr val="accent1"/>
          </a:solidFill>
          <a:ln>
            <a:noFill/>
          </a:ln>
          <a:effectLst>
            <a:outerShdw blurRad="317500" algn="ctr" rotWithShape="0">
              <a:prstClr val="black">
                <a:alpha val="25000"/>
              </a:prstClr>
            </a:outerShdw>
          </a:effectLst>
        </c:spPr>
      </c:pivotFmt>
      <c:pivotFmt>
        <c:idx val="91"/>
        <c:spPr>
          <a:solidFill>
            <a:srgbClr val="F3D0EE"/>
          </a:solidFill>
          <a:ln>
            <a:noFill/>
          </a:ln>
          <a:effectLst>
            <a:outerShdw blurRad="317500" algn="ctr" rotWithShape="0">
              <a:prstClr val="black">
                <a:alpha val="25000"/>
              </a:prstClr>
            </a:outerShdw>
          </a:effectLst>
        </c:spPr>
      </c:pivotFmt>
      <c:pivotFmt>
        <c:idx val="92"/>
        <c:spPr>
          <a:solidFill>
            <a:schemeClr val="accent5">
              <a:lumMod val="75000"/>
            </a:schemeClr>
          </a:solidFill>
          <a:ln>
            <a:noFill/>
          </a:ln>
          <a:effectLst>
            <a:outerShdw blurRad="317500" algn="ctr" rotWithShape="0">
              <a:prstClr val="black">
                <a:alpha val="25000"/>
              </a:prstClr>
            </a:outerShdw>
          </a:effectLst>
        </c:spPr>
      </c:pivotFmt>
      <c:pivotFmt>
        <c:idx val="93"/>
        <c:spPr>
          <a:solidFill>
            <a:schemeClr val="accent1"/>
          </a:solidFill>
          <a:ln>
            <a:noFill/>
          </a:ln>
          <a:effectLst>
            <a:outerShdw blurRad="317500" algn="ctr" rotWithShape="0">
              <a:prstClr val="black">
                <a:alpha val="25000"/>
              </a:prstClr>
            </a:outerShdw>
          </a:effectLst>
        </c:spPr>
      </c:pivotFmt>
      <c:pivotFmt>
        <c:idx val="94"/>
        <c:spPr>
          <a:solidFill>
            <a:schemeClr val="bg1">
              <a:lumMod val="95000"/>
            </a:schemeClr>
          </a:solidFill>
          <a:ln>
            <a:noFill/>
          </a:ln>
          <a:effectLst>
            <a:outerShdw blurRad="317500" algn="ctr" rotWithShape="0">
              <a:prstClr val="black">
                <a:alpha val="25000"/>
              </a:prstClr>
            </a:outerShdw>
          </a:effectLst>
        </c:spPr>
      </c:pivotFmt>
      <c:pivotFmt>
        <c:idx val="95"/>
        <c:spPr>
          <a:solidFill>
            <a:schemeClr val="bg1">
              <a:lumMod val="85000"/>
            </a:schemeClr>
          </a:solidFill>
          <a:ln>
            <a:noFill/>
          </a:ln>
          <a:effectLst>
            <a:outerShdw blurRad="317500" algn="ctr" rotWithShape="0">
              <a:prstClr val="black">
                <a:alpha val="25000"/>
              </a:prstClr>
            </a:outerShdw>
          </a:effectLst>
        </c:spPr>
      </c:pivotFmt>
      <c:pivotFmt>
        <c:idx val="9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97"/>
        <c:spPr>
          <a:solidFill>
            <a:srgbClr val="EA6B63"/>
          </a:solidFill>
          <a:ln>
            <a:noFill/>
          </a:ln>
          <a:effectLst>
            <a:outerShdw blurRad="317500" algn="ctr" rotWithShape="0">
              <a:prstClr val="black">
                <a:alpha val="25000"/>
              </a:prstClr>
            </a:outerShdw>
          </a:effectLst>
        </c:spPr>
      </c:pivotFmt>
      <c:pivotFmt>
        <c:idx val="98"/>
        <c:spPr>
          <a:solidFill>
            <a:srgbClr val="FFC000"/>
          </a:solidFill>
          <a:ln>
            <a:noFill/>
          </a:ln>
          <a:effectLst>
            <a:outerShdw blurRad="317500" algn="ctr" rotWithShape="0">
              <a:prstClr val="black">
                <a:alpha val="25000"/>
              </a:prstClr>
            </a:outerShdw>
          </a:effectLst>
        </c:spPr>
      </c:pivotFmt>
      <c:pivotFmt>
        <c:idx val="99"/>
        <c:spPr>
          <a:solidFill>
            <a:srgbClr val="00B050"/>
          </a:solidFill>
          <a:ln cmpd="sng">
            <a:noFill/>
          </a:ln>
          <a:effectLst>
            <a:glow>
              <a:schemeClr val="accent1">
                <a:alpha val="40000"/>
              </a:schemeClr>
            </a:glow>
          </a:effectLst>
          <a:scene3d>
            <a:camera prst="orthographicFront"/>
            <a:lightRig rig="threePt" dir="t"/>
          </a:scene3d>
          <a:sp3d prstMaterial="metal">
            <a:bevelT w="12700"/>
            <a:bevelB w="12700"/>
          </a:sp3d>
        </c:spPr>
      </c:pivotFmt>
      <c:pivotFmt>
        <c:idx val="100"/>
        <c:spPr>
          <a:solidFill>
            <a:schemeClr val="accent4">
              <a:lumMod val="50000"/>
            </a:schemeClr>
          </a:solidFill>
          <a:ln>
            <a:noFill/>
          </a:ln>
          <a:effectLst>
            <a:outerShdw blurRad="317500" algn="ctr" rotWithShape="0">
              <a:prstClr val="black">
                <a:alpha val="25000"/>
              </a:prstClr>
            </a:outerShdw>
          </a:effectLst>
        </c:spPr>
      </c:pivotFmt>
      <c:pivotFmt>
        <c:idx val="101"/>
        <c:spPr>
          <a:solidFill>
            <a:schemeClr val="accent5">
              <a:lumMod val="20000"/>
              <a:lumOff val="80000"/>
            </a:schemeClr>
          </a:solidFill>
          <a:ln>
            <a:noFill/>
          </a:ln>
          <a:effectLst>
            <a:outerShdw blurRad="317500" algn="ctr" rotWithShape="0">
              <a:prstClr val="black">
                <a:alpha val="25000"/>
              </a:prstClr>
            </a:outerShdw>
          </a:effectLst>
        </c:spPr>
      </c:pivotFmt>
      <c:pivotFmt>
        <c:idx val="102"/>
        <c:spPr>
          <a:solidFill>
            <a:schemeClr val="accent6">
              <a:lumMod val="75000"/>
            </a:schemeClr>
          </a:solidFill>
          <a:ln>
            <a:noFill/>
          </a:ln>
          <a:effectLst>
            <a:outerShdw blurRad="317500" algn="ctr" rotWithShape="0">
              <a:prstClr val="black">
                <a:alpha val="25000"/>
              </a:prstClr>
            </a:outerShdw>
          </a:effectLst>
        </c:spPr>
      </c:pivotFmt>
      <c:pivotFmt>
        <c:idx val="103"/>
        <c:spPr>
          <a:solidFill>
            <a:schemeClr val="accent1"/>
          </a:solidFill>
          <a:ln>
            <a:noFill/>
          </a:ln>
          <a:effectLst>
            <a:outerShdw blurRad="317500" algn="ctr" rotWithShape="0">
              <a:prstClr val="black">
                <a:alpha val="25000"/>
              </a:prstClr>
            </a:outerShdw>
          </a:effectLst>
        </c:spPr>
      </c:pivotFmt>
      <c:pivotFmt>
        <c:idx val="104"/>
        <c:spPr>
          <a:solidFill>
            <a:srgbClr val="F3D0EE"/>
          </a:solidFill>
          <a:ln>
            <a:noFill/>
          </a:ln>
          <a:effectLst>
            <a:outerShdw blurRad="317500" algn="ctr" rotWithShape="0">
              <a:prstClr val="black">
                <a:alpha val="25000"/>
              </a:prstClr>
            </a:outerShdw>
          </a:effectLst>
        </c:spPr>
      </c:pivotFmt>
      <c:pivotFmt>
        <c:idx val="105"/>
        <c:spPr>
          <a:solidFill>
            <a:schemeClr val="accent5">
              <a:lumMod val="75000"/>
            </a:schemeClr>
          </a:solidFill>
          <a:ln>
            <a:noFill/>
          </a:ln>
          <a:effectLst>
            <a:outerShdw blurRad="317500" algn="ctr" rotWithShape="0">
              <a:prstClr val="black">
                <a:alpha val="25000"/>
              </a:prstClr>
            </a:outerShdw>
          </a:effectLst>
        </c:spPr>
      </c:pivotFmt>
      <c:pivotFmt>
        <c:idx val="106"/>
        <c:spPr>
          <a:solidFill>
            <a:schemeClr val="accent1"/>
          </a:solidFill>
          <a:ln>
            <a:noFill/>
          </a:ln>
          <a:effectLst>
            <a:outerShdw blurRad="317500" algn="ctr" rotWithShape="0">
              <a:prstClr val="black">
                <a:alpha val="25000"/>
              </a:prstClr>
            </a:outerShdw>
          </a:effectLst>
        </c:spPr>
      </c:pivotFmt>
      <c:pivotFmt>
        <c:idx val="107"/>
        <c:spPr>
          <a:solidFill>
            <a:schemeClr val="bg1">
              <a:lumMod val="95000"/>
            </a:schemeClr>
          </a:solidFill>
          <a:ln>
            <a:noFill/>
          </a:ln>
          <a:effectLst>
            <a:outerShdw blurRad="317500" algn="ctr" rotWithShape="0">
              <a:prstClr val="black">
                <a:alpha val="25000"/>
              </a:prstClr>
            </a:outerShdw>
          </a:effectLst>
        </c:spPr>
      </c:pivotFmt>
      <c:pivotFmt>
        <c:idx val="108"/>
        <c:spPr>
          <a:solidFill>
            <a:schemeClr val="bg1">
              <a:lumMod val="85000"/>
            </a:schemeClr>
          </a:solidFill>
          <a:ln>
            <a:noFill/>
          </a:ln>
          <a:effectLst>
            <a:outerShdw blurRad="317500" algn="ctr" rotWithShape="0">
              <a:prstClr val="black">
                <a:alpha val="25000"/>
              </a:prstClr>
            </a:outerShdw>
          </a:effectLst>
        </c:spPr>
      </c:pivotFmt>
      <c:pivotFmt>
        <c:idx val="109"/>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Sector!$B$3</c:f>
              <c:strCache>
                <c:ptCount val="1"/>
                <c:pt idx="0">
                  <c:v>Total</c:v>
                </c:pt>
              </c:strCache>
            </c:strRef>
          </c:tx>
          <c:dPt>
            <c:idx val="0"/>
            <c:bubble3D val="0"/>
            <c:spPr>
              <a:solidFill>
                <a:srgbClr val="EA6B6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91B-3843-AC67-AA3639680B3E}"/>
              </c:ext>
            </c:extLst>
          </c:dPt>
          <c:dPt>
            <c:idx val="1"/>
            <c:bubble3D val="0"/>
            <c:spPr>
              <a:solidFill>
                <a:srgbClr val="FFC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91B-3843-AC67-AA3639680B3E}"/>
              </c:ext>
            </c:extLst>
          </c:dPt>
          <c:dPt>
            <c:idx val="2"/>
            <c:bubble3D val="0"/>
            <c:explosion val="20"/>
            <c:spPr>
              <a:solidFill>
                <a:srgbClr val="00B050"/>
              </a:solidFill>
              <a:ln cmpd="sng">
                <a:noFill/>
              </a:ln>
              <a:effectLst>
                <a:glow>
                  <a:schemeClr val="accent1">
                    <a:alpha val="40000"/>
                  </a:schemeClr>
                </a:glow>
              </a:effectLst>
              <a:scene3d>
                <a:camera prst="orthographicFront"/>
                <a:lightRig rig="threePt" dir="t"/>
              </a:scene3d>
              <a:sp3d prstMaterial="metal">
                <a:bevelT w="12700"/>
                <a:bevelB w="12700"/>
              </a:sp3d>
            </c:spPr>
            <c:extLst>
              <c:ext xmlns:c16="http://schemas.microsoft.com/office/drawing/2014/chart" uri="{C3380CC4-5D6E-409C-BE32-E72D297353CC}">
                <c16:uniqueId val="{00000005-291B-3843-AC67-AA3639680B3E}"/>
              </c:ext>
            </c:extLst>
          </c:dPt>
          <c:dPt>
            <c:idx val="3"/>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91B-3843-AC67-AA3639680B3E}"/>
              </c:ext>
            </c:extLst>
          </c:dPt>
          <c:dPt>
            <c:idx val="4"/>
            <c:bubble3D val="0"/>
            <c:spPr>
              <a:solidFill>
                <a:schemeClr val="accent5">
                  <a:lumMod val="20000"/>
                  <a:lumOff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91B-3843-AC67-AA3639680B3E}"/>
              </c:ext>
            </c:extLst>
          </c:dPt>
          <c:dPt>
            <c:idx val="5"/>
            <c:bubble3D val="0"/>
            <c:spPr>
              <a:solidFill>
                <a:schemeClr val="accent6">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291B-3843-AC67-AA3639680B3E}"/>
              </c:ext>
            </c:extLst>
          </c:dPt>
          <c:dPt>
            <c:idx val="6"/>
            <c:bubble3D val="0"/>
            <c:spPr>
              <a:solidFill>
                <a:srgbClr val="F3D0EE"/>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291B-3843-AC67-AA3639680B3E}"/>
              </c:ext>
            </c:extLst>
          </c:dPt>
          <c:dPt>
            <c:idx val="7"/>
            <c:bubble3D val="0"/>
            <c:spPr>
              <a:solidFill>
                <a:schemeClr val="accent5">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291B-3843-AC67-AA3639680B3E}"/>
              </c:ext>
            </c:extLst>
          </c:dPt>
          <c:dPt>
            <c:idx val="8"/>
            <c:bubble3D val="0"/>
            <c:spPr>
              <a:solidFill>
                <a:schemeClr val="bg1">
                  <a:lumMod val="9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291B-3843-AC67-AA3639680B3E}"/>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291B-3843-AC67-AA3639680B3E}"/>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291B-3843-AC67-AA3639680B3E}"/>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291B-3843-AC67-AA3639680B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Sector!$A$4:$A$14</c:f>
              <c:strCache>
                <c:ptCount val="10"/>
                <c:pt idx="0">
                  <c:v>Academic/Hospitals </c:v>
                </c:pt>
                <c:pt idx="1">
                  <c:v>Associations</c:v>
                </c:pt>
                <c:pt idx="2">
                  <c:v>Biotechnology</c:v>
                </c:pt>
                <c:pt idx="3">
                  <c:v>Charities</c:v>
                </c:pt>
                <c:pt idx="4">
                  <c:v>Investor</c:v>
                </c:pt>
                <c:pt idx="5">
                  <c:v>Media businesses</c:v>
                </c:pt>
                <c:pt idx="6">
                  <c:v>Pharmaceutical</c:v>
                </c:pt>
                <c:pt idx="7">
                  <c:v>Regulator/Payers</c:v>
                </c:pt>
                <c:pt idx="8">
                  <c:v>Vendor</c:v>
                </c:pt>
                <c:pt idx="9">
                  <c:v>Not mentioned</c:v>
                </c:pt>
              </c:strCache>
            </c:strRef>
          </c:cat>
          <c:val>
            <c:numRef>
              <c:f>Sector!$B$4:$B$14</c:f>
              <c:numCache>
                <c:formatCode>General</c:formatCode>
                <c:ptCount val="10"/>
                <c:pt idx="0">
                  <c:v>27</c:v>
                </c:pt>
                <c:pt idx="1">
                  <c:v>7</c:v>
                </c:pt>
                <c:pt idx="2">
                  <c:v>91</c:v>
                </c:pt>
                <c:pt idx="3">
                  <c:v>4</c:v>
                </c:pt>
                <c:pt idx="4">
                  <c:v>16</c:v>
                </c:pt>
                <c:pt idx="5">
                  <c:v>2</c:v>
                </c:pt>
                <c:pt idx="6">
                  <c:v>22</c:v>
                </c:pt>
                <c:pt idx="7">
                  <c:v>3</c:v>
                </c:pt>
                <c:pt idx="8">
                  <c:v>412</c:v>
                </c:pt>
                <c:pt idx="9">
                  <c:v>148</c:v>
                </c:pt>
              </c:numCache>
            </c:numRef>
          </c:val>
          <c:extLst>
            <c:ext xmlns:c16="http://schemas.microsoft.com/office/drawing/2014/chart" uri="{C3380CC4-5D6E-409C-BE32-E72D297353CC}">
              <c16:uniqueId val="{00000018-291B-3843-AC67-AA3639680B3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2"/>
        <c:txPr>
          <a:bodyPr rot="0" spcFirstLastPara="1" vertOverflow="ellipsis" vert="horz" wrap="square" anchor="ctr" anchorCtr="1"/>
          <a:lstStyle/>
          <a:p>
            <a:pPr>
              <a:defRPr sz="900" b="0" i="0" u="none" strike="noStrike" kern="1200" baseline="0">
                <a:solidFill>
                  <a:schemeClr val="dk1">
                    <a:lumMod val="65000"/>
                    <a:lumOff val="35000"/>
                    <a:alpha val="99000"/>
                  </a:schemeClr>
                </a:solidFill>
                <a:latin typeface="+mn-lt"/>
                <a:ea typeface="+mn-ea"/>
                <a:cs typeface="+mn-cs"/>
              </a:defRPr>
            </a:pPr>
            <a:endParaRPr lang="en-US"/>
          </a:p>
        </c:txPr>
      </c:legendEntry>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[Email Campaign &amp; Audience Analysis Dashboard copy.xlsx]Seniority!PivotTable2</c:name>
    <c:fmtId val="2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600" b="1" i="0" u="none" strike="noStrike" kern="1200" spc="0" baseline="0">
                <a:solidFill>
                  <a:schemeClr val="tx1"/>
                </a:solidFill>
              </a:rPr>
              <a:t>Only 11% of contacts are senior with another 1 in 8 off-target </a:t>
            </a:r>
            <a:endParaRPr lang="en-US" sz="1600" b="1" i="0" u="none" strike="noStrike" kern="1200" spc="0" baseline="0">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FF6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41100"/>
          </a:solidFill>
          <a:ln>
            <a:solidFill>
              <a:srgbClr val="941100"/>
            </a:solidFill>
          </a:ln>
          <a:effectLst/>
        </c:spPr>
      </c:pivotFmt>
      <c:pivotFmt>
        <c:idx val="2"/>
        <c:spPr>
          <a:solidFill>
            <a:srgbClr val="941100"/>
          </a:solidFill>
          <a:ln>
            <a:noFill/>
          </a:ln>
          <a:effectLst/>
        </c:spPr>
      </c:pivotFmt>
      <c:pivotFmt>
        <c:idx val="3"/>
        <c:spPr>
          <a:solidFill>
            <a:srgbClr val="941100"/>
          </a:solidFill>
          <a:ln>
            <a:noFill/>
          </a:ln>
          <a:effectLst/>
        </c:spPr>
      </c:pivotFmt>
      <c:pivotFmt>
        <c:idx val="4"/>
        <c:spPr>
          <a:solidFill>
            <a:srgbClr val="941100"/>
          </a:solidFill>
          <a:ln>
            <a:noFill/>
          </a:ln>
          <a:effectLst/>
        </c:spPr>
      </c:pivotFmt>
      <c:pivotFmt>
        <c:idx val="5"/>
        <c:spPr>
          <a:solidFill>
            <a:srgbClr val="941100"/>
          </a:solidFill>
          <a:ln>
            <a:noFill/>
          </a:ln>
          <a:effectLst/>
        </c:spPr>
      </c:pivotFmt>
      <c:pivotFmt>
        <c:idx val="6"/>
        <c:spPr>
          <a:solidFill>
            <a:srgbClr val="941100"/>
          </a:solidFill>
          <a:ln>
            <a:noFill/>
          </a:ln>
          <a:effectLst/>
        </c:spPr>
      </c:pivotFmt>
      <c:pivotFmt>
        <c:idx val="7"/>
        <c:spPr>
          <a:solidFill>
            <a:srgbClr val="941100"/>
          </a:solidFill>
          <a:ln>
            <a:noFill/>
          </a:ln>
          <a:effectLst/>
        </c:spPr>
      </c:pivotFmt>
      <c:pivotFmt>
        <c:idx val="8"/>
        <c:spPr>
          <a:solidFill>
            <a:srgbClr val="FF6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41100"/>
          </a:solidFill>
          <a:ln>
            <a:noFill/>
          </a:ln>
          <a:effectLst/>
        </c:spPr>
      </c:pivotFmt>
      <c:pivotFmt>
        <c:idx val="10"/>
        <c:spPr>
          <a:solidFill>
            <a:srgbClr val="941100"/>
          </a:solidFill>
          <a:ln>
            <a:noFill/>
          </a:ln>
          <a:effectLst/>
        </c:spPr>
      </c:pivotFmt>
      <c:pivotFmt>
        <c:idx val="11"/>
        <c:spPr>
          <a:solidFill>
            <a:srgbClr val="941100"/>
          </a:solidFill>
          <a:ln>
            <a:noFill/>
          </a:ln>
          <a:effectLst/>
        </c:spPr>
      </c:pivotFmt>
      <c:pivotFmt>
        <c:idx val="12"/>
        <c:spPr>
          <a:solidFill>
            <a:srgbClr val="941100"/>
          </a:solidFill>
          <a:ln>
            <a:noFill/>
          </a:ln>
          <a:effectLst/>
        </c:spPr>
      </c:pivotFmt>
      <c:pivotFmt>
        <c:idx val="13"/>
        <c:spPr>
          <a:solidFill>
            <a:srgbClr val="941100"/>
          </a:solidFill>
          <a:ln>
            <a:solidFill>
              <a:srgbClr val="941100"/>
            </a:solidFill>
          </a:ln>
          <a:effectLst/>
        </c:spPr>
      </c:pivotFmt>
      <c:pivotFmt>
        <c:idx val="14"/>
        <c:spPr>
          <a:solidFill>
            <a:srgbClr val="941100"/>
          </a:solidFill>
          <a:ln>
            <a:noFill/>
          </a:ln>
          <a:effectLst/>
        </c:spPr>
      </c:pivotFmt>
      <c:pivotFmt>
        <c:idx val="15"/>
        <c:spPr>
          <a:solidFill>
            <a:srgbClr val="FF654D">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pivotFmt>
      <c:pivotFmt>
        <c:idx val="17"/>
        <c:spPr>
          <a:solidFill>
            <a:schemeClr val="accent4"/>
          </a:solidFill>
          <a:ln>
            <a:noFill/>
          </a:ln>
          <a:effectLst/>
        </c:spPr>
      </c:pivotFmt>
      <c:pivotFmt>
        <c:idx val="18"/>
        <c:spPr>
          <a:solidFill>
            <a:schemeClr val="accent4"/>
          </a:solidFill>
          <a:ln>
            <a:noFill/>
          </a:ln>
          <a:effectLst/>
        </c:spPr>
      </c:pivotFmt>
      <c:pivotFmt>
        <c:idx val="19"/>
        <c:spPr>
          <a:solidFill>
            <a:schemeClr val="accent4"/>
          </a:solidFill>
          <a:ln>
            <a:noFill/>
          </a:ln>
          <a:effectLst/>
        </c:spPr>
      </c:pivotFmt>
      <c:pivotFmt>
        <c:idx val="20"/>
        <c:spPr>
          <a:solidFill>
            <a:srgbClr val="941100"/>
          </a:solidFill>
          <a:ln>
            <a:noFill/>
          </a:ln>
          <a:effectLst/>
        </c:spPr>
      </c:pivotFmt>
      <c:pivotFmt>
        <c:idx val="21"/>
        <c:spPr>
          <a:solidFill>
            <a:schemeClr val="accent4"/>
          </a:solidFill>
          <a:ln>
            <a:noFill/>
          </a:ln>
          <a:effectLst/>
        </c:spPr>
      </c:pivotFmt>
      <c:pivotFmt>
        <c:idx val="22"/>
        <c:spPr>
          <a:solidFill>
            <a:schemeClr val="accent4">
              <a:lumMod val="60000"/>
              <a:lumOff val="40000"/>
              <a:alpha val="50000"/>
            </a:schemeClr>
          </a:solidFill>
          <a:ln>
            <a:noFill/>
          </a:ln>
          <a:effectLst/>
        </c:spPr>
      </c:pivotFmt>
      <c:pivotFmt>
        <c:idx val="23"/>
        <c:spPr>
          <a:solidFill>
            <a:schemeClr val="accent4"/>
          </a:solidFill>
          <a:ln>
            <a:noFill/>
          </a:ln>
          <a:effectLst/>
        </c:spPr>
      </c:pivotFmt>
      <c:pivotFmt>
        <c:idx val="24"/>
        <c:spPr>
          <a:solidFill>
            <a:schemeClr val="accent4"/>
          </a:solidFill>
          <a:ln>
            <a:noFill/>
          </a:ln>
          <a:effectLst/>
        </c:spPr>
      </c:pivotFmt>
      <c:pivotFmt>
        <c:idx val="25"/>
        <c:spPr>
          <a:solidFill>
            <a:schemeClr val="accent4"/>
          </a:solidFill>
          <a:ln>
            <a:noFill/>
          </a:ln>
          <a:effectLst/>
        </c:spPr>
      </c:pivotFmt>
      <c:pivotFmt>
        <c:idx val="26"/>
        <c:spPr>
          <a:solidFill>
            <a:schemeClr val="accent4"/>
          </a:solidFill>
          <a:ln>
            <a:noFill/>
          </a:ln>
          <a:effectLst/>
        </c:spPr>
      </c:pivotFmt>
      <c:pivotFmt>
        <c:idx val="27"/>
        <c:spPr>
          <a:solidFill>
            <a:schemeClr val="accent4"/>
          </a:solidFill>
          <a:ln>
            <a:noFill/>
          </a:ln>
          <a:effectLst/>
        </c:spPr>
      </c:pivotFmt>
      <c:pivotFmt>
        <c:idx val="28"/>
        <c:spPr>
          <a:solidFill>
            <a:srgbClr val="FF654D">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pivotFmt>
      <c:pivotFmt>
        <c:idx val="30"/>
        <c:spPr>
          <a:solidFill>
            <a:schemeClr val="accent4"/>
          </a:solidFill>
          <a:ln>
            <a:noFill/>
          </a:ln>
          <a:effectLst/>
        </c:spPr>
      </c:pivotFmt>
      <c:pivotFmt>
        <c:idx val="31"/>
        <c:spPr>
          <a:solidFill>
            <a:schemeClr val="accent4"/>
          </a:solidFill>
          <a:ln>
            <a:noFill/>
          </a:ln>
          <a:effectLst/>
        </c:spPr>
      </c:pivotFmt>
      <c:pivotFmt>
        <c:idx val="32"/>
        <c:spPr>
          <a:solidFill>
            <a:schemeClr val="accent4">
              <a:lumMod val="60000"/>
              <a:lumOff val="40000"/>
              <a:alpha val="50000"/>
            </a:schemeClr>
          </a:solidFill>
          <a:ln>
            <a:noFill/>
          </a:ln>
          <a:effectLst/>
        </c:spPr>
      </c:pivotFmt>
      <c:pivotFmt>
        <c:idx val="33"/>
        <c:spPr>
          <a:solidFill>
            <a:srgbClr val="941100"/>
          </a:solidFill>
          <a:ln>
            <a:noFill/>
          </a:ln>
          <a:effectLst/>
        </c:spPr>
      </c:pivotFmt>
      <c:pivotFmt>
        <c:idx val="34"/>
        <c:spPr>
          <a:solidFill>
            <a:schemeClr val="accent4"/>
          </a:solidFill>
          <a:ln>
            <a:noFill/>
          </a:ln>
          <a:effectLst/>
        </c:spPr>
      </c:pivotFmt>
      <c:pivotFmt>
        <c:idx val="35"/>
        <c:spPr>
          <a:solidFill>
            <a:schemeClr val="accent4"/>
          </a:solidFill>
          <a:ln>
            <a:noFill/>
          </a:ln>
          <a:effectLst/>
        </c:spPr>
      </c:pivotFmt>
      <c:pivotFmt>
        <c:idx val="36"/>
        <c:spPr>
          <a:solidFill>
            <a:schemeClr val="accent4"/>
          </a:solidFill>
          <a:ln>
            <a:noFill/>
          </a:ln>
          <a:effectLst/>
        </c:spPr>
      </c:pivotFmt>
      <c:pivotFmt>
        <c:idx val="37"/>
        <c:spPr>
          <a:solidFill>
            <a:schemeClr val="accent4"/>
          </a:solidFill>
          <a:ln>
            <a:noFill/>
          </a:ln>
          <a:effectLst/>
        </c:spPr>
      </c:pivotFmt>
      <c:pivotFmt>
        <c:idx val="38"/>
        <c:spPr>
          <a:solidFill>
            <a:schemeClr val="accent4"/>
          </a:solidFill>
          <a:ln>
            <a:noFill/>
          </a:ln>
          <a:effectLst/>
        </c:spPr>
      </c:pivotFmt>
      <c:pivotFmt>
        <c:idx val="39"/>
        <c:spPr>
          <a:solidFill>
            <a:schemeClr val="accent4"/>
          </a:solidFill>
          <a:ln>
            <a:noFill/>
          </a:ln>
          <a:effectLst/>
        </c:spPr>
      </c:pivotFmt>
      <c:pivotFmt>
        <c:idx val="40"/>
        <c:spPr>
          <a:solidFill>
            <a:schemeClr val="accent4"/>
          </a:solidFill>
          <a:ln>
            <a:noFill/>
          </a:ln>
          <a:effectLst/>
        </c:spPr>
      </c:pivotFmt>
      <c:pivotFmt>
        <c:idx val="41"/>
        <c:spPr>
          <a:solidFill>
            <a:srgbClr val="FFC000">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FFC000">
              <a:alpha val="80000"/>
            </a:srgbClr>
          </a:solidFill>
          <a:ln>
            <a:noFill/>
          </a:ln>
          <a:effectLst/>
        </c:spPr>
      </c:pivotFmt>
      <c:pivotFmt>
        <c:idx val="43"/>
        <c:spPr>
          <a:solidFill>
            <a:srgbClr val="FFC000">
              <a:alpha val="80000"/>
            </a:srgbClr>
          </a:solidFill>
          <a:ln>
            <a:noFill/>
          </a:ln>
          <a:effectLst/>
        </c:spPr>
      </c:pivotFmt>
      <c:pivotFmt>
        <c:idx val="44"/>
        <c:spPr>
          <a:solidFill>
            <a:srgbClr val="FFC000">
              <a:alpha val="80000"/>
            </a:srgbClr>
          </a:solidFill>
          <a:ln>
            <a:noFill/>
          </a:ln>
          <a:effectLst/>
        </c:spPr>
      </c:pivotFmt>
      <c:pivotFmt>
        <c:idx val="45"/>
        <c:spPr>
          <a:solidFill>
            <a:schemeClr val="accent4">
              <a:lumMod val="20000"/>
              <a:lumOff val="80000"/>
              <a:alpha val="80000"/>
            </a:schemeClr>
          </a:solidFill>
          <a:ln>
            <a:noFill/>
          </a:ln>
          <a:effectLst/>
        </c:spPr>
      </c:pivotFmt>
      <c:pivotFmt>
        <c:idx val="46"/>
        <c:spPr>
          <a:solidFill>
            <a:srgbClr val="C00000">
              <a:alpha val="80000"/>
            </a:srgbClr>
          </a:solidFill>
          <a:ln>
            <a:noFill/>
          </a:ln>
          <a:effectLst/>
        </c:spPr>
      </c:pivotFmt>
      <c:pivotFmt>
        <c:idx val="47"/>
        <c:spPr>
          <a:solidFill>
            <a:srgbClr val="FFC000">
              <a:alpha val="80000"/>
            </a:srgbClr>
          </a:solidFill>
          <a:ln>
            <a:noFill/>
          </a:ln>
          <a:effectLst/>
        </c:spPr>
      </c:pivotFmt>
      <c:pivotFmt>
        <c:idx val="48"/>
        <c:spPr>
          <a:solidFill>
            <a:srgbClr val="FFC000">
              <a:alpha val="80000"/>
            </a:srgbClr>
          </a:solidFill>
          <a:ln>
            <a:noFill/>
          </a:ln>
          <a:effectLst/>
        </c:spPr>
      </c:pivotFmt>
      <c:pivotFmt>
        <c:idx val="49"/>
        <c:spPr>
          <a:solidFill>
            <a:schemeClr val="accent4"/>
          </a:solidFill>
          <a:ln>
            <a:noFill/>
          </a:ln>
          <a:effectLst/>
        </c:spPr>
      </c:pivotFmt>
      <c:pivotFmt>
        <c:idx val="50"/>
        <c:spPr>
          <a:solidFill>
            <a:srgbClr val="FFC000">
              <a:alpha val="80000"/>
            </a:srgbClr>
          </a:solidFill>
          <a:ln>
            <a:noFill/>
          </a:ln>
          <a:effectLst/>
        </c:spPr>
      </c:pivotFmt>
      <c:pivotFmt>
        <c:idx val="51"/>
        <c:spPr>
          <a:solidFill>
            <a:srgbClr val="FFC000">
              <a:alpha val="80000"/>
            </a:srgbClr>
          </a:solidFill>
          <a:ln>
            <a:noFill/>
          </a:ln>
          <a:effectLst/>
        </c:spPr>
      </c:pivotFmt>
      <c:pivotFmt>
        <c:idx val="52"/>
        <c:spPr>
          <a:solidFill>
            <a:srgbClr val="FFC000">
              <a:alpha val="80000"/>
            </a:srgbClr>
          </a:solidFill>
          <a:ln>
            <a:noFill/>
          </a:ln>
          <a:effectLst/>
        </c:spPr>
      </c:pivotFmt>
      <c:pivotFmt>
        <c:idx val="53"/>
        <c:spPr>
          <a:solidFill>
            <a:srgbClr val="FFC000">
              <a:alpha val="80000"/>
            </a:srgbClr>
          </a:solidFill>
          <a:ln>
            <a:noFill/>
          </a:ln>
          <a:effectLst/>
        </c:spPr>
      </c:pivotFmt>
      <c:pivotFmt>
        <c:idx val="54"/>
        <c:spPr>
          <a:solidFill>
            <a:srgbClr val="FFC000">
              <a:alpha val="80000"/>
            </a:srgbClr>
          </a:solidFill>
          <a:ln>
            <a:noFill/>
          </a:ln>
          <a:effectLst/>
        </c:spPr>
      </c:pivotFmt>
    </c:pivotFmts>
    <c:plotArea>
      <c:layout/>
      <c:barChart>
        <c:barDir val="col"/>
        <c:grouping val="clustered"/>
        <c:varyColors val="0"/>
        <c:ser>
          <c:idx val="0"/>
          <c:order val="0"/>
          <c:tx>
            <c:strRef>
              <c:f>Seniority!$B$3</c:f>
              <c:strCache>
                <c:ptCount val="1"/>
                <c:pt idx="0">
                  <c:v>Total</c:v>
                </c:pt>
              </c:strCache>
            </c:strRef>
          </c:tx>
          <c:spPr>
            <a:solidFill>
              <a:srgbClr val="FFC000">
                <a:alpha val="80000"/>
              </a:srgbClr>
            </a:solidFill>
            <a:ln>
              <a:noFill/>
            </a:ln>
            <a:effectLst/>
          </c:spPr>
          <c:invertIfNegative val="0"/>
          <c:dPt>
            <c:idx val="0"/>
            <c:invertIfNegative val="0"/>
            <c:bubble3D val="0"/>
            <c:spPr>
              <a:solidFill>
                <a:srgbClr val="FFC000">
                  <a:alpha val="80000"/>
                </a:srgbClr>
              </a:solidFill>
              <a:ln>
                <a:noFill/>
              </a:ln>
              <a:effectLst/>
            </c:spPr>
            <c:extLst>
              <c:ext xmlns:c16="http://schemas.microsoft.com/office/drawing/2014/chart" uri="{C3380CC4-5D6E-409C-BE32-E72D297353CC}">
                <c16:uniqueId val="{00000001-9376-694F-8FC5-61C558C2C644}"/>
              </c:ext>
            </c:extLst>
          </c:dPt>
          <c:dPt>
            <c:idx val="1"/>
            <c:invertIfNegative val="0"/>
            <c:bubble3D val="0"/>
            <c:spPr>
              <a:solidFill>
                <a:srgbClr val="FFC000">
                  <a:alpha val="80000"/>
                </a:srgbClr>
              </a:solidFill>
              <a:ln>
                <a:noFill/>
              </a:ln>
              <a:effectLst/>
            </c:spPr>
            <c:extLst>
              <c:ext xmlns:c16="http://schemas.microsoft.com/office/drawing/2014/chart" uri="{C3380CC4-5D6E-409C-BE32-E72D297353CC}">
                <c16:uniqueId val="{00000003-9376-694F-8FC5-61C558C2C644}"/>
              </c:ext>
            </c:extLst>
          </c:dPt>
          <c:dPt>
            <c:idx val="2"/>
            <c:invertIfNegative val="0"/>
            <c:bubble3D val="0"/>
            <c:spPr>
              <a:solidFill>
                <a:srgbClr val="FFC000">
                  <a:alpha val="80000"/>
                </a:srgbClr>
              </a:solidFill>
              <a:ln>
                <a:noFill/>
              </a:ln>
              <a:effectLst/>
            </c:spPr>
            <c:extLst>
              <c:ext xmlns:c16="http://schemas.microsoft.com/office/drawing/2014/chart" uri="{C3380CC4-5D6E-409C-BE32-E72D297353CC}">
                <c16:uniqueId val="{00000005-9376-694F-8FC5-61C558C2C644}"/>
              </c:ext>
            </c:extLst>
          </c:dPt>
          <c:dPt>
            <c:idx val="3"/>
            <c:invertIfNegative val="0"/>
            <c:bubble3D val="0"/>
            <c:spPr>
              <a:solidFill>
                <a:schemeClr val="accent4">
                  <a:lumMod val="20000"/>
                  <a:lumOff val="80000"/>
                  <a:alpha val="80000"/>
                </a:schemeClr>
              </a:solidFill>
              <a:ln>
                <a:noFill/>
              </a:ln>
              <a:effectLst/>
            </c:spPr>
            <c:extLst>
              <c:ext xmlns:c16="http://schemas.microsoft.com/office/drawing/2014/chart" uri="{C3380CC4-5D6E-409C-BE32-E72D297353CC}">
                <c16:uniqueId val="{00000007-9376-694F-8FC5-61C558C2C644}"/>
              </c:ext>
            </c:extLst>
          </c:dPt>
          <c:dPt>
            <c:idx val="4"/>
            <c:invertIfNegative val="0"/>
            <c:bubble3D val="0"/>
            <c:spPr>
              <a:solidFill>
                <a:srgbClr val="C00000">
                  <a:alpha val="80000"/>
                </a:srgbClr>
              </a:solidFill>
              <a:ln>
                <a:noFill/>
              </a:ln>
              <a:effectLst/>
            </c:spPr>
            <c:extLst>
              <c:ext xmlns:c16="http://schemas.microsoft.com/office/drawing/2014/chart" uri="{C3380CC4-5D6E-409C-BE32-E72D297353CC}">
                <c16:uniqueId val="{00000009-9376-694F-8FC5-61C558C2C644}"/>
              </c:ext>
            </c:extLst>
          </c:dPt>
          <c:dPt>
            <c:idx val="5"/>
            <c:invertIfNegative val="0"/>
            <c:bubble3D val="0"/>
            <c:spPr>
              <a:solidFill>
                <a:srgbClr val="FFC000">
                  <a:alpha val="80000"/>
                </a:srgbClr>
              </a:solidFill>
              <a:ln>
                <a:noFill/>
              </a:ln>
              <a:effectLst/>
            </c:spPr>
            <c:extLst>
              <c:ext xmlns:c16="http://schemas.microsoft.com/office/drawing/2014/chart" uri="{C3380CC4-5D6E-409C-BE32-E72D297353CC}">
                <c16:uniqueId val="{0000000B-9376-694F-8FC5-61C558C2C644}"/>
              </c:ext>
            </c:extLst>
          </c:dPt>
          <c:dPt>
            <c:idx val="6"/>
            <c:invertIfNegative val="0"/>
            <c:bubble3D val="0"/>
            <c:spPr>
              <a:solidFill>
                <a:srgbClr val="FFC000">
                  <a:alpha val="80000"/>
                </a:srgbClr>
              </a:solidFill>
              <a:ln>
                <a:noFill/>
              </a:ln>
              <a:effectLst/>
            </c:spPr>
            <c:extLst>
              <c:ext xmlns:c16="http://schemas.microsoft.com/office/drawing/2014/chart" uri="{C3380CC4-5D6E-409C-BE32-E72D297353CC}">
                <c16:uniqueId val="{0000000D-9376-694F-8FC5-61C558C2C644}"/>
              </c:ext>
            </c:extLst>
          </c:dPt>
          <c:dPt>
            <c:idx val="7"/>
            <c:invertIfNegative val="0"/>
            <c:bubble3D val="0"/>
            <c:spPr>
              <a:solidFill>
                <a:srgbClr val="FFC000">
                  <a:alpha val="80000"/>
                </a:srgbClr>
              </a:solidFill>
              <a:ln>
                <a:noFill/>
              </a:ln>
              <a:effectLst/>
            </c:spPr>
            <c:extLst>
              <c:ext xmlns:c16="http://schemas.microsoft.com/office/drawing/2014/chart" uri="{C3380CC4-5D6E-409C-BE32-E72D297353CC}">
                <c16:uniqueId val="{0000000F-9376-694F-8FC5-61C558C2C644}"/>
              </c:ext>
            </c:extLst>
          </c:dPt>
          <c:dPt>
            <c:idx val="8"/>
            <c:invertIfNegative val="0"/>
            <c:bubble3D val="0"/>
            <c:spPr>
              <a:solidFill>
                <a:srgbClr val="FFC000">
                  <a:alpha val="80000"/>
                </a:srgbClr>
              </a:solidFill>
              <a:ln>
                <a:noFill/>
              </a:ln>
              <a:effectLst/>
            </c:spPr>
            <c:extLst>
              <c:ext xmlns:c16="http://schemas.microsoft.com/office/drawing/2014/chart" uri="{C3380CC4-5D6E-409C-BE32-E72D297353CC}">
                <c16:uniqueId val="{00000011-9376-694F-8FC5-61C558C2C644}"/>
              </c:ext>
            </c:extLst>
          </c:dPt>
          <c:dPt>
            <c:idx val="9"/>
            <c:invertIfNegative val="0"/>
            <c:bubble3D val="0"/>
            <c:spPr>
              <a:solidFill>
                <a:srgbClr val="FFC000">
                  <a:alpha val="80000"/>
                </a:srgbClr>
              </a:solidFill>
              <a:ln>
                <a:noFill/>
              </a:ln>
              <a:effectLst/>
            </c:spPr>
            <c:extLst>
              <c:ext xmlns:c16="http://schemas.microsoft.com/office/drawing/2014/chart" uri="{C3380CC4-5D6E-409C-BE32-E72D297353CC}">
                <c16:uniqueId val="{00000013-9376-694F-8FC5-61C558C2C644}"/>
              </c:ext>
            </c:extLst>
          </c:dPt>
          <c:dPt>
            <c:idx val="10"/>
            <c:invertIfNegative val="0"/>
            <c:bubble3D val="0"/>
            <c:spPr>
              <a:solidFill>
                <a:srgbClr val="FFC000">
                  <a:alpha val="80000"/>
                </a:srgbClr>
              </a:solidFill>
              <a:ln>
                <a:noFill/>
              </a:ln>
              <a:effectLst/>
            </c:spPr>
            <c:extLst>
              <c:ext xmlns:c16="http://schemas.microsoft.com/office/drawing/2014/chart" uri="{C3380CC4-5D6E-409C-BE32-E72D297353CC}">
                <c16:uniqueId val="{00000015-9376-694F-8FC5-61C558C2C644}"/>
              </c:ext>
            </c:extLst>
          </c:dPt>
          <c:dPt>
            <c:idx val="11"/>
            <c:invertIfNegative val="0"/>
            <c:bubble3D val="0"/>
            <c:spPr>
              <a:solidFill>
                <a:srgbClr val="FFC000">
                  <a:alpha val="80000"/>
                </a:srgbClr>
              </a:solidFill>
              <a:ln>
                <a:noFill/>
              </a:ln>
              <a:effectLst/>
            </c:spPr>
            <c:extLst>
              <c:ext xmlns:c16="http://schemas.microsoft.com/office/drawing/2014/chart" uri="{C3380CC4-5D6E-409C-BE32-E72D297353CC}">
                <c16:uniqueId val="{00000017-9376-694F-8FC5-61C558C2C6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Seniority!$A$4:$A$16</c:f>
              <c:strCache>
                <c:ptCount val="12"/>
                <c:pt idx="0">
                  <c:v>Director</c:v>
                </c:pt>
                <c:pt idx="1">
                  <c:v>C-suite</c:v>
                </c:pt>
                <c:pt idx="2">
                  <c:v>Manager</c:v>
                </c:pt>
                <c:pt idx="3">
                  <c:v>Other</c:v>
                </c:pt>
                <c:pt idx="4">
                  <c:v>Senior</c:v>
                </c:pt>
                <c:pt idx="5">
                  <c:v>Vice President</c:v>
                </c:pt>
                <c:pt idx="6">
                  <c:v>Head of Department</c:v>
                </c:pt>
                <c:pt idx="7">
                  <c:v>Not mentioned</c:v>
                </c:pt>
                <c:pt idx="8">
                  <c:v>Principal</c:v>
                </c:pt>
                <c:pt idx="9">
                  <c:v>Executive</c:v>
                </c:pt>
                <c:pt idx="10">
                  <c:v>Associate</c:v>
                </c:pt>
                <c:pt idx="11">
                  <c:v>Founder</c:v>
                </c:pt>
              </c:strCache>
            </c:strRef>
          </c:cat>
          <c:val>
            <c:numRef>
              <c:f>Seniority!$B$4:$B$16</c:f>
              <c:numCache>
                <c:formatCode>General</c:formatCode>
                <c:ptCount val="12"/>
                <c:pt idx="0">
                  <c:v>143</c:v>
                </c:pt>
                <c:pt idx="1">
                  <c:v>129</c:v>
                </c:pt>
                <c:pt idx="2">
                  <c:v>107</c:v>
                </c:pt>
                <c:pt idx="3">
                  <c:v>91</c:v>
                </c:pt>
                <c:pt idx="4">
                  <c:v>78</c:v>
                </c:pt>
                <c:pt idx="5">
                  <c:v>67</c:v>
                </c:pt>
                <c:pt idx="6">
                  <c:v>37</c:v>
                </c:pt>
                <c:pt idx="7">
                  <c:v>34</c:v>
                </c:pt>
                <c:pt idx="8">
                  <c:v>15</c:v>
                </c:pt>
                <c:pt idx="9">
                  <c:v>13</c:v>
                </c:pt>
                <c:pt idx="10">
                  <c:v>12</c:v>
                </c:pt>
                <c:pt idx="11">
                  <c:v>6</c:v>
                </c:pt>
              </c:numCache>
            </c:numRef>
          </c:val>
          <c:extLst>
            <c:ext xmlns:c16="http://schemas.microsoft.com/office/drawing/2014/chart" uri="{C3380CC4-5D6E-409C-BE32-E72D297353CC}">
              <c16:uniqueId val="{00000018-9376-694F-8FC5-61C558C2C644}"/>
            </c:ext>
          </c:extLst>
        </c:ser>
        <c:dLbls>
          <c:showLegendKey val="0"/>
          <c:showVal val="0"/>
          <c:showCatName val="0"/>
          <c:showSerName val="0"/>
          <c:showPercent val="0"/>
          <c:showBubbleSize val="0"/>
        </c:dLbls>
        <c:gapWidth val="219"/>
        <c:overlap val="-27"/>
        <c:axId val="1022465759"/>
        <c:axId val="1031074879"/>
      </c:barChart>
      <c:catAx>
        <c:axId val="102246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074879"/>
        <c:crosses val="autoZero"/>
        <c:auto val="1"/>
        <c:lblAlgn val="ctr"/>
        <c:lblOffset val="100"/>
        <c:noMultiLvlLbl val="0"/>
      </c:catAx>
      <c:valAx>
        <c:axId val="1031074879"/>
        <c:scaling>
          <c:orientation val="minMax"/>
        </c:scaling>
        <c:delete val="1"/>
        <c:axPos val="l"/>
        <c:numFmt formatCode="General" sourceLinked="1"/>
        <c:majorTickMark val="none"/>
        <c:minorTickMark val="none"/>
        <c:tickLblPos val="nextTo"/>
        <c:crossAx val="102246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[Email Campaign &amp; Audience Analysis Dashboard copy.xlsx]Subscriber growth!PivotTable2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i="0" u="none" strike="noStrike" kern="1200" spc="0" baseline="0">
                <a:solidFill>
                  <a:schemeClr val="tx1"/>
                </a:solidFill>
              </a:rPr>
              <a:t>Subscriber Growth Over Time </a:t>
            </a:r>
          </a:p>
          <a:p>
            <a:pPr>
              <a:defRPr/>
            </a:pPr>
            <a:r>
              <a:rPr lang="en-GB" sz="1400" b="0" i="1" u="none" strike="noStrike" kern="1200" spc="0" baseline="0">
                <a:solidFill>
                  <a:sysClr val="windowText" lastClr="000000">
                    <a:lumMod val="65000"/>
                    <a:lumOff val="35000"/>
                  </a:sysClr>
                </a:solidFill>
              </a:rPr>
              <a:t>(Email Marketing List Trends)</a:t>
            </a:r>
            <a:endParaRPr lang="en-US" sz="1400" b="0" i="1"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'Subscriber growth'!$B$3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'Subscriber growth'!$A$4:$A$8</c:f>
              <c:strCache>
                <c:ptCount val="5"/>
                <c:pt idx="0">
                  <c:v>2017</c:v>
                </c:pt>
                <c:pt idx="1">
                  <c:v>2018</c:v>
                </c:pt>
                <c:pt idx="2">
                  <c:v>2019</c:v>
                </c:pt>
                <c:pt idx="3">
                  <c:v>2020</c:v>
                </c:pt>
                <c:pt idx="4">
                  <c:v>2022</c:v>
                </c:pt>
              </c:strCache>
            </c:strRef>
          </c:cat>
          <c:val>
            <c:numRef>
              <c:f>'Subscriber growth'!$B$4:$B$8</c:f>
              <c:numCache>
                <c:formatCode>General</c:formatCode>
                <c:ptCount val="5"/>
                <c:pt idx="0">
                  <c:v>29</c:v>
                </c:pt>
                <c:pt idx="1">
                  <c:v>67</c:v>
                </c:pt>
                <c:pt idx="2">
                  <c:v>228</c:v>
                </c:pt>
                <c:pt idx="3">
                  <c:v>341</c:v>
                </c:pt>
                <c:pt idx="4">
                  <c:v>732</c:v>
                </c:pt>
              </c:numCache>
            </c:numRef>
          </c:val>
          <c:extLst>
            <c:ext xmlns:c16="http://schemas.microsoft.com/office/drawing/2014/chart" uri="{C3380CC4-5D6E-409C-BE32-E72D297353CC}">
              <c16:uniqueId val="{00000002-3A6F-7D4A-A057-16694AD0D76F}"/>
            </c:ext>
          </c:extLst>
        </c:ser>
        <c:dLbls>
          <c:dLblPos val="outEnd"/>
          <c:showLegendKey val="0"/>
          <c:showVal val="1"/>
          <c:showCatName val="0"/>
          <c:showSerName val="0"/>
          <c:showPercent val="0"/>
          <c:showBubbleSize val="0"/>
        </c:dLbls>
        <c:gapWidth val="219"/>
        <c:overlap val="-27"/>
        <c:axId val="1852310368"/>
        <c:axId val="1722062448"/>
      </c:barChart>
      <c:catAx>
        <c:axId val="185231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062448"/>
        <c:crosses val="autoZero"/>
        <c:auto val="1"/>
        <c:lblAlgn val="ctr"/>
        <c:lblOffset val="100"/>
        <c:noMultiLvlLbl val="0"/>
      </c:catAx>
      <c:valAx>
        <c:axId val="1722062448"/>
        <c:scaling>
          <c:orientation val="minMax"/>
        </c:scaling>
        <c:delete val="1"/>
        <c:axPos val="l"/>
        <c:numFmt formatCode="General" sourceLinked="1"/>
        <c:majorTickMark val="out"/>
        <c:minorTickMark val="none"/>
        <c:tickLblPos val="nextTo"/>
        <c:crossAx val="185231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[Email Campaign &amp; Audience Analysis Dashboard copy.xlsx]New subscriber by source!PivotTable2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tx1"/>
                </a:solidFill>
              </a:rPr>
              <a:t>New subscriber acquisition by source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'New subscriber by source'!$C$3:$C$4</c:f>
              <c:strCache>
                <c:ptCount val="1"/>
                <c:pt idx="0">
                  <c:v>Google Ads</c:v>
                </c:pt>
              </c:strCache>
            </c:strRef>
          </c:tx>
          <c:spPr>
            <a:solidFill>
              <a:schemeClr val="accent1"/>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source'!$C$5:$C$32</c:f>
              <c:numCache>
                <c:formatCode>General</c:formatCode>
                <c:ptCount val="22"/>
                <c:pt idx="0">
                  <c:v>12</c:v>
                </c:pt>
                <c:pt idx="1">
                  <c:v>8</c:v>
                </c:pt>
                <c:pt idx="2">
                  <c:v>3</c:v>
                </c:pt>
                <c:pt idx="14">
                  <c:v>2</c:v>
                </c:pt>
              </c:numCache>
            </c:numRef>
          </c:val>
          <c:extLst>
            <c:ext xmlns:c16="http://schemas.microsoft.com/office/drawing/2014/chart" uri="{C3380CC4-5D6E-409C-BE32-E72D297353CC}">
              <c16:uniqueId val="{00000000-4B26-2E41-B8C7-004B0DBA2D47}"/>
            </c:ext>
          </c:extLst>
        </c:ser>
        <c:ser>
          <c:idx val="1"/>
          <c:order val="1"/>
          <c:tx>
            <c:strRef>
              <c:f>'New subscriber by source'!$D$3:$D$4</c:f>
              <c:strCache>
                <c:ptCount val="1"/>
                <c:pt idx="0">
                  <c:v>LinkedIn</c:v>
                </c:pt>
              </c:strCache>
            </c:strRef>
          </c:tx>
          <c:spPr>
            <a:solidFill>
              <a:schemeClr val="accent2"/>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source'!$D$5:$D$32</c:f>
              <c:numCache>
                <c:formatCode>General</c:formatCode>
                <c:ptCount val="22"/>
                <c:pt idx="12">
                  <c:v>22</c:v>
                </c:pt>
                <c:pt idx="13">
                  <c:v>2</c:v>
                </c:pt>
                <c:pt idx="14">
                  <c:v>29</c:v>
                </c:pt>
                <c:pt idx="15">
                  <c:v>29</c:v>
                </c:pt>
                <c:pt idx="16">
                  <c:v>32</c:v>
                </c:pt>
                <c:pt idx="17">
                  <c:v>15</c:v>
                </c:pt>
              </c:numCache>
            </c:numRef>
          </c:val>
          <c:extLst>
            <c:ext xmlns:c16="http://schemas.microsoft.com/office/drawing/2014/chart" uri="{C3380CC4-5D6E-409C-BE32-E72D297353CC}">
              <c16:uniqueId val="{00000005-7A5E-7C42-A8F0-227665C77ABB}"/>
            </c:ext>
          </c:extLst>
        </c:ser>
        <c:ser>
          <c:idx val="2"/>
          <c:order val="2"/>
          <c:tx>
            <c:strRef>
              <c:f>'New subscriber by source'!$E$3:$E$4</c:f>
              <c:strCache>
                <c:ptCount val="1"/>
                <c:pt idx="0">
                  <c:v>LinkedIn Ad</c:v>
                </c:pt>
              </c:strCache>
            </c:strRef>
          </c:tx>
          <c:spPr>
            <a:solidFill>
              <a:schemeClr val="accent3"/>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source'!$E$5:$E$32</c:f>
              <c:numCache>
                <c:formatCode>General</c:formatCode>
                <c:ptCount val="22"/>
                <c:pt idx="20">
                  <c:v>8</c:v>
                </c:pt>
                <c:pt idx="21">
                  <c:v>31</c:v>
                </c:pt>
              </c:numCache>
            </c:numRef>
          </c:val>
          <c:extLst>
            <c:ext xmlns:c16="http://schemas.microsoft.com/office/drawing/2014/chart" uri="{C3380CC4-5D6E-409C-BE32-E72D297353CC}">
              <c16:uniqueId val="{00000006-7A5E-7C42-A8F0-227665C77ABB}"/>
            </c:ext>
          </c:extLst>
        </c:ser>
        <c:ser>
          <c:idx val="3"/>
          <c:order val="3"/>
          <c:tx>
            <c:strRef>
              <c:f>'New subscriber by source'!$F$3:$F$4</c:f>
              <c:strCache>
                <c:ptCount val="1"/>
                <c:pt idx="0">
                  <c:v>Organic search</c:v>
                </c:pt>
              </c:strCache>
            </c:strRef>
          </c:tx>
          <c:spPr>
            <a:solidFill>
              <a:schemeClr val="accent4"/>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source'!$F$5:$F$32</c:f>
              <c:numCache>
                <c:formatCode>General</c:formatCode>
                <c:ptCount val="22"/>
                <c:pt idx="19">
                  <c:v>10</c:v>
                </c:pt>
                <c:pt idx="20">
                  <c:v>32</c:v>
                </c:pt>
                <c:pt idx="21">
                  <c:v>38</c:v>
                </c:pt>
              </c:numCache>
            </c:numRef>
          </c:val>
          <c:extLst>
            <c:ext xmlns:c16="http://schemas.microsoft.com/office/drawing/2014/chart" uri="{C3380CC4-5D6E-409C-BE32-E72D297353CC}">
              <c16:uniqueId val="{00000007-7A5E-7C42-A8F0-227665C77ABB}"/>
            </c:ext>
          </c:extLst>
        </c:ser>
        <c:ser>
          <c:idx val="4"/>
          <c:order val="4"/>
          <c:tx>
            <c:strRef>
              <c:f>'New subscriber by source'!$G$3:$G$4</c:f>
              <c:strCache>
                <c:ptCount val="1"/>
                <c:pt idx="0">
                  <c:v>Past Event</c:v>
                </c:pt>
              </c:strCache>
            </c:strRef>
          </c:tx>
          <c:spPr>
            <a:solidFill>
              <a:schemeClr val="accent5"/>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source'!$G$5:$G$32</c:f>
              <c:numCache>
                <c:formatCode>General</c:formatCode>
                <c:ptCount val="22"/>
                <c:pt idx="18">
                  <c:v>1</c:v>
                </c:pt>
                <c:pt idx="19">
                  <c:v>8</c:v>
                </c:pt>
                <c:pt idx="20">
                  <c:v>56</c:v>
                </c:pt>
                <c:pt idx="21">
                  <c:v>40</c:v>
                </c:pt>
              </c:numCache>
            </c:numRef>
          </c:val>
          <c:extLst>
            <c:ext xmlns:c16="http://schemas.microsoft.com/office/drawing/2014/chart" uri="{C3380CC4-5D6E-409C-BE32-E72D297353CC}">
              <c16:uniqueId val="{00000008-7A5E-7C42-A8F0-227665C77ABB}"/>
            </c:ext>
          </c:extLst>
        </c:ser>
        <c:ser>
          <c:idx val="5"/>
          <c:order val="5"/>
          <c:tx>
            <c:strRef>
              <c:f>'New subscriber by source'!$H$3:$H$4</c:f>
              <c:strCache>
                <c:ptCount val="1"/>
                <c:pt idx="0">
                  <c:v>Referral</c:v>
                </c:pt>
              </c:strCache>
            </c:strRef>
          </c:tx>
          <c:spPr>
            <a:solidFill>
              <a:schemeClr val="accent6"/>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source'!$H$5:$H$32</c:f>
              <c:numCache>
                <c:formatCode>General</c:formatCode>
                <c:ptCount val="22"/>
                <c:pt idx="18">
                  <c:v>2</c:v>
                </c:pt>
                <c:pt idx="19">
                  <c:v>30</c:v>
                </c:pt>
                <c:pt idx="20">
                  <c:v>54</c:v>
                </c:pt>
                <c:pt idx="21">
                  <c:v>62</c:v>
                </c:pt>
              </c:numCache>
            </c:numRef>
          </c:val>
          <c:extLst>
            <c:ext xmlns:c16="http://schemas.microsoft.com/office/drawing/2014/chart" uri="{C3380CC4-5D6E-409C-BE32-E72D297353CC}">
              <c16:uniqueId val="{00000009-7A5E-7C42-A8F0-227665C77ABB}"/>
            </c:ext>
          </c:extLst>
        </c:ser>
        <c:ser>
          <c:idx val="6"/>
          <c:order val="6"/>
          <c:tx>
            <c:strRef>
              <c:f>'New subscriber by source'!$I$3:$I$4</c:f>
              <c:strCache>
                <c:ptCount val="1"/>
                <c:pt idx="0">
                  <c:v>Sales</c:v>
                </c:pt>
              </c:strCache>
            </c:strRef>
          </c:tx>
          <c:spPr>
            <a:solidFill>
              <a:schemeClr val="accent1">
                <a:lumMod val="60000"/>
              </a:schemeClr>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source'!$I$5:$I$32</c:f>
              <c:numCache>
                <c:formatCode>General</c:formatCode>
                <c:ptCount val="22"/>
                <c:pt idx="3">
                  <c:v>6</c:v>
                </c:pt>
                <c:pt idx="4">
                  <c:v>6</c:v>
                </c:pt>
                <c:pt idx="5">
                  <c:v>17</c:v>
                </c:pt>
                <c:pt idx="6">
                  <c:v>15</c:v>
                </c:pt>
                <c:pt idx="7">
                  <c:v>15</c:v>
                </c:pt>
                <c:pt idx="8">
                  <c:v>27</c:v>
                </c:pt>
                <c:pt idx="9">
                  <c:v>31</c:v>
                </c:pt>
                <c:pt idx="10">
                  <c:v>30</c:v>
                </c:pt>
                <c:pt idx="11">
                  <c:v>29</c:v>
                </c:pt>
                <c:pt idx="12">
                  <c:v>7</c:v>
                </c:pt>
                <c:pt idx="14">
                  <c:v>2</c:v>
                </c:pt>
              </c:numCache>
            </c:numRef>
          </c:val>
          <c:extLst>
            <c:ext xmlns:c16="http://schemas.microsoft.com/office/drawing/2014/chart" uri="{C3380CC4-5D6E-409C-BE32-E72D297353CC}">
              <c16:uniqueId val="{0000000A-7A5E-7C42-A8F0-227665C77ABB}"/>
            </c:ext>
          </c:extLst>
        </c:ser>
        <c:ser>
          <c:idx val="7"/>
          <c:order val="7"/>
          <c:tx>
            <c:strRef>
              <c:f>'New subscriber by source'!$J$3:$J$4</c:f>
              <c:strCache>
                <c:ptCount val="1"/>
                <c:pt idx="0">
                  <c:v>Twitter</c:v>
                </c:pt>
              </c:strCache>
            </c:strRef>
          </c:tx>
          <c:spPr>
            <a:solidFill>
              <a:schemeClr val="accent2">
                <a:lumMod val="60000"/>
              </a:schemeClr>
            </a:solidFill>
            <a:ln>
              <a:noFill/>
            </a:ln>
            <a:effectLst/>
          </c:spPr>
          <c:invertIfNegative val="0"/>
          <c:cat>
            <c:multiLvlStrRef>
              <c:f>'New subscriber by source'!$A$5:$B$32</c:f>
              <c:multiLvlStrCache>
                <c:ptCount val="22"/>
                <c:lvl>
                  <c:pt idx="0">
                    <c:v>Jan</c:v>
                  </c:pt>
                  <c:pt idx="1">
                    <c:v>May</c:v>
                  </c:pt>
                  <c:pt idx="2">
                    <c:v>Sep</c:v>
                  </c:pt>
                  <c:pt idx="3">
                    <c:v>Oct</c:v>
                  </c:pt>
                  <c:pt idx="4">
                    <c:v>May</c:v>
                  </c:pt>
                  <c:pt idx="5">
                    <c:v>Jun</c:v>
                  </c:pt>
                  <c:pt idx="6">
                    <c:v>Nov</c:v>
                  </c:pt>
                  <c:pt idx="7">
                    <c:v>Jun</c:v>
                  </c:pt>
                  <c:pt idx="8">
                    <c:v>Jul</c:v>
                  </c:pt>
                  <c:pt idx="9">
                    <c:v>Aug</c:v>
                  </c:pt>
                  <c:pt idx="10">
                    <c:v>Sep</c:v>
                  </c:pt>
                  <c:pt idx="11">
                    <c:v>Oct</c:v>
                  </c:pt>
                  <c:pt idx="12">
                    <c:v>Nov</c:v>
                  </c:pt>
                  <c:pt idx="13">
                    <c:v>Mar</c:v>
                  </c:pt>
                  <c:pt idx="14">
                    <c:v>Apr</c:v>
                  </c:pt>
                  <c:pt idx="15">
                    <c:v>May</c:v>
                  </c:pt>
                  <c:pt idx="16">
                    <c:v>Jun</c:v>
                  </c:pt>
                  <c:pt idx="17">
                    <c:v>Jul</c:v>
                  </c:pt>
                  <c:pt idx="18">
                    <c:v>Sep</c:v>
                  </c:pt>
                  <c:pt idx="19">
                    <c:v>Oct</c:v>
                  </c:pt>
                  <c:pt idx="20">
                    <c:v>Nov</c:v>
                  </c:pt>
                  <c:pt idx="21">
                    <c:v>Dec</c:v>
                  </c:pt>
                </c:lvl>
                <c:lvl>
                  <c:pt idx="0">
                    <c:v>2017</c:v>
                  </c:pt>
                  <c:pt idx="4">
                    <c:v>2018</c:v>
                  </c:pt>
                  <c:pt idx="7">
                    <c:v>2019</c:v>
                  </c:pt>
                  <c:pt idx="13">
                    <c:v>2020</c:v>
                  </c:pt>
                  <c:pt idx="18">
                    <c:v>2022</c:v>
                  </c:pt>
                </c:lvl>
              </c:multiLvlStrCache>
            </c:multiLvlStrRef>
          </c:cat>
          <c:val>
            <c:numRef>
              <c:f>'New subscriber by source'!$J$5:$J$32</c:f>
              <c:numCache>
                <c:formatCode>General</c:formatCode>
                <c:ptCount val="22"/>
                <c:pt idx="17">
                  <c:v>2</c:v>
                </c:pt>
                <c:pt idx="19">
                  <c:v>1</c:v>
                </c:pt>
                <c:pt idx="20">
                  <c:v>7</c:v>
                </c:pt>
                <c:pt idx="21">
                  <c:v>11</c:v>
                </c:pt>
              </c:numCache>
            </c:numRef>
          </c:val>
          <c:extLst>
            <c:ext xmlns:c16="http://schemas.microsoft.com/office/drawing/2014/chart" uri="{C3380CC4-5D6E-409C-BE32-E72D297353CC}">
              <c16:uniqueId val="{00000000-6530-CB42-BC16-57D4F1EFD994}"/>
            </c:ext>
          </c:extLst>
        </c:ser>
        <c:dLbls>
          <c:showLegendKey val="0"/>
          <c:showVal val="0"/>
          <c:showCatName val="0"/>
          <c:showSerName val="0"/>
          <c:showPercent val="0"/>
          <c:showBubbleSize val="0"/>
        </c:dLbls>
        <c:gapWidth val="150"/>
        <c:overlap val="100"/>
        <c:axId val="423327024"/>
        <c:axId val="1400748336"/>
      </c:barChart>
      <c:catAx>
        <c:axId val="42332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748336"/>
        <c:crosses val="autoZero"/>
        <c:auto val="1"/>
        <c:lblAlgn val="ctr"/>
        <c:lblOffset val="100"/>
        <c:noMultiLvlLbl val="0"/>
      </c:catAx>
      <c:valAx>
        <c:axId val="1400748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Subscribers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32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tx1"/>
                </a:solidFill>
              </a:rPr>
              <a:t>Conversion Rate (</a:t>
            </a:r>
            <a:r>
              <a:rPr lang="en-GB" sz="1400" b="1" i="0" u="none" strike="noStrike" kern="1200" spc="0" baseline="0">
                <a:solidFill>
                  <a:schemeClr val="tx1"/>
                </a:solidFill>
              </a:rPr>
              <a:t>Product Page Visit ) </a:t>
            </a:r>
            <a:r>
              <a:rPr lang="en-GB" sz="1400" b="1" i="0" u="none" strike="noStrike" baseline="0">
                <a:solidFill>
                  <a:schemeClr val="tx1"/>
                </a:solidFill>
              </a:rPr>
              <a:t>per Campaign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'Best worst campaign'!$E$3</c:f>
              <c:strCache>
                <c:ptCount val="1"/>
                <c:pt idx="0">
                  <c:v>Visitor to product page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'Best worst campaign'!$D$4:$D$24</c:f>
              <c:strCache>
                <c:ptCount val="21"/>
                <c:pt idx="0">
                  <c:v>365 email</c:v>
                </c:pt>
                <c:pt idx="1">
                  <c:v>Abandoned cart</c:v>
                </c:pt>
                <c:pt idx="2">
                  <c:v>Conversion</c:v>
                </c:pt>
                <c:pt idx="3">
                  <c:v>credit vouchers</c:v>
                </c:pt>
                <c:pt idx="4">
                  <c:v>email</c:v>
                </c:pt>
                <c:pt idx="5">
                  <c:v>Excom Email</c:v>
                </c:pt>
                <c:pt idx="6">
                  <c:v>Exprom Email</c:v>
                </c:pt>
                <c:pt idx="7">
                  <c:v>Exprom Sponsor Acquisition</c:v>
                </c:pt>
                <c:pt idx="8">
                  <c:v>Newsletter</c:v>
                </c:pt>
                <c:pt idx="9">
                  <c:v>Non-member comms</c:v>
                </c:pt>
                <c:pt idx="10">
                  <c:v>Operational Comms</c:v>
                </c:pt>
                <c:pt idx="11">
                  <c:v>Speaker Presentations</c:v>
                </c:pt>
                <c:pt idx="12">
                  <c:v>Speakers</c:v>
                </c:pt>
                <c:pt idx="13">
                  <c:v>spex</c:v>
                </c:pt>
                <c:pt idx="14">
                  <c:v>Visprom Conversion Email</c:v>
                </c:pt>
                <c:pt idx="15">
                  <c:v>Visprom Email</c:v>
                </c:pt>
                <c:pt idx="16">
                  <c:v>Visprom Registration DS Email</c:v>
                </c:pt>
                <c:pt idx="17">
                  <c:v>Visprom Registration Email</c:v>
                </c:pt>
                <c:pt idx="18">
                  <c:v>Visprom Registration Webinar</c:v>
                </c:pt>
                <c:pt idx="19">
                  <c:v>WebinarEmails</c:v>
                </c:pt>
                <c:pt idx="20">
                  <c:v>webinars</c:v>
                </c:pt>
              </c:strCache>
            </c:strRef>
          </c:cat>
          <c:val>
            <c:numRef>
              <c:f>'Best worst campaign'!$E$4:$E$24</c:f>
              <c:numCache>
                <c:formatCode>0%</c:formatCode>
                <c:ptCount val="21"/>
                <c:pt idx="0">
                  <c:v>0.50942381121742808</c:v>
                </c:pt>
                <c:pt idx="1">
                  <c:v>0.34622540427300386</c:v>
                </c:pt>
                <c:pt idx="2">
                  <c:v>0.43766802728932896</c:v>
                </c:pt>
                <c:pt idx="3">
                  <c:v>0.15625</c:v>
                </c:pt>
                <c:pt idx="4">
                  <c:v>0.4342223713167877</c:v>
                </c:pt>
                <c:pt idx="5">
                  <c:v>0.43965124474465572</c:v>
                </c:pt>
                <c:pt idx="6">
                  <c:v>0.39360798722474455</c:v>
                </c:pt>
                <c:pt idx="7">
                  <c:v>0.41648479891667928</c:v>
                </c:pt>
                <c:pt idx="8">
                  <c:v>0.32423390380386991</c:v>
                </c:pt>
                <c:pt idx="9">
                  <c:v>0.35971082107332863</c:v>
                </c:pt>
                <c:pt idx="10">
                  <c:v>0.78854075722918848</c:v>
                </c:pt>
                <c:pt idx="11">
                  <c:v>8.2589285714285712E-2</c:v>
                </c:pt>
                <c:pt idx="12">
                  <c:v>0.25757575757575757</c:v>
                </c:pt>
                <c:pt idx="13">
                  <c:v>0.45218468226209479</c:v>
                </c:pt>
                <c:pt idx="14">
                  <c:v>0.16144639674051439</c:v>
                </c:pt>
                <c:pt idx="15">
                  <c:v>0.40098902979292039</c:v>
                </c:pt>
                <c:pt idx="16">
                  <c:v>0.30948191221438487</c:v>
                </c:pt>
                <c:pt idx="17">
                  <c:v>0.36425606752008827</c:v>
                </c:pt>
                <c:pt idx="18">
                  <c:v>0.35909631391200952</c:v>
                </c:pt>
                <c:pt idx="19">
                  <c:v>0.39908578494241764</c:v>
                </c:pt>
                <c:pt idx="20">
                  <c:v>0.38877365610123382</c:v>
                </c:pt>
              </c:numCache>
            </c:numRef>
          </c:val>
          <c:smooth val="0"/>
          <c:extLst>
            <c:ext xmlns:c16="http://schemas.microsoft.com/office/drawing/2014/chart" uri="{C3380CC4-5D6E-409C-BE32-E72D297353CC}">
              <c16:uniqueId val="{00000000-DC50-064A-BD81-DB2F883EB96F}"/>
            </c:ext>
          </c:extLst>
        </c:ser>
        <c:ser>
          <c:idx val="1"/>
          <c:order val="1"/>
          <c:tx>
            <c:strRef>
              <c:f>'Best worst campaign'!$F$3</c:f>
              <c:strCache>
                <c:ptCount val="1"/>
                <c:pt idx="0">
                  <c:v>MAX Conversion</c:v>
                </c:pt>
              </c:strCache>
            </c:strRef>
          </c:tx>
          <c:spPr>
            <a:ln w="38100" cap="rnd">
              <a:solidFill>
                <a:schemeClr val="bg1"/>
              </a:solidFill>
              <a:round/>
            </a:ln>
            <a:effectLst/>
          </c:spPr>
          <c:marker>
            <c:symbol val="circle"/>
            <c:size val="5"/>
            <c:spPr>
              <a:solidFill>
                <a:schemeClr val="accent2"/>
              </a:solidFill>
              <a:ln w="63500">
                <a:solidFill>
                  <a:schemeClr val="accent2"/>
                </a:solidFill>
              </a:ln>
              <a:effectLst/>
            </c:spPr>
          </c:marker>
          <c:cat>
            <c:strRef>
              <c:f>'Best worst campaign'!$D$4:$D$24</c:f>
              <c:strCache>
                <c:ptCount val="21"/>
                <c:pt idx="0">
                  <c:v>365 email</c:v>
                </c:pt>
                <c:pt idx="1">
                  <c:v>Abandoned cart</c:v>
                </c:pt>
                <c:pt idx="2">
                  <c:v>Conversion</c:v>
                </c:pt>
                <c:pt idx="3">
                  <c:v>credit vouchers</c:v>
                </c:pt>
                <c:pt idx="4">
                  <c:v>email</c:v>
                </c:pt>
                <c:pt idx="5">
                  <c:v>Excom Email</c:v>
                </c:pt>
                <c:pt idx="6">
                  <c:v>Exprom Email</c:v>
                </c:pt>
                <c:pt idx="7">
                  <c:v>Exprom Sponsor Acquisition</c:v>
                </c:pt>
                <c:pt idx="8">
                  <c:v>Newsletter</c:v>
                </c:pt>
                <c:pt idx="9">
                  <c:v>Non-member comms</c:v>
                </c:pt>
                <c:pt idx="10">
                  <c:v>Operational Comms</c:v>
                </c:pt>
                <c:pt idx="11">
                  <c:v>Speaker Presentations</c:v>
                </c:pt>
                <c:pt idx="12">
                  <c:v>Speakers</c:v>
                </c:pt>
                <c:pt idx="13">
                  <c:v>spex</c:v>
                </c:pt>
                <c:pt idx="14">
                  <c:v>Visprom Conversion Email</c:v>
                </c:pt>
                <c:pt idx="15">
                  <c:v>Visprom Email</c:v>
                </c:pt>
                <c:pt idx="16">
                  <c:v>Visprom Registration DS Email</c:v>
                </c:pt>
                <c:pt idx="17">
                  <c:v>Visprom Registration Email</c:v>
                </c:pt>
                <c:pt idx="18">
                  <c:v>Visprom Registration Webinar</c:v>
                </c:pt>
                <c:pt idx="19">
                  <c:v>WebinarEmails</c:v>
                </c:pt>
                <c:pt idx="20">
                  <c:v>webinars</c:v>
                </c:pt>
              </c:strCache>
            </c:strRef>
          </c:cat>
          <c:val>
            <c:numRef>
              <c:f>'Best worst campaign'!$F$4:$F$24</c:f>
              <c:numCache>
                <c:formatCode>0%</c:formatCode>
                <c:ptCount val="21"/>
                <c:pt idx="0">
                  <c:v>#N/A</c:v>
                </c:pt>
                <c:pt idx="1">
                  <c:v>#N/A</c:v>
                </c:pt>
                <c:pt idx="2">
                  <c:v>#N/A</c:v>
                </c:pt>
                <c:pt idx="3">
                  <c:v>#N/A</c:v>
                </c:pt>
                <c:pt idx="4">
                  <c:v>#N/A</c:v>
                </c:pt>
                <c:pt idx="5">
                  <c:v>#N/A</c:v>
                </c:pt>
                <c:pt idx="6">
                  <c:v>#N/A</c:v>
                </c:pt>
                <c:pt idx="7">
                  <c:v>#N/A</c:v>
                </c:pt>
                <c:pt idx="8">
                  <c:v>#N/A</c:v>
                </c:pt>
                <c:pt idx="9">
                  <c:v>#N/A</c:v>
                </c:pt>
                <c:pt idx="10">
                  <c:v>0.78854075722918848</c:v>
                </c:pt>
                <c:pt idx="11">
                  <c:v>#N/A</c:v>
                </c:pt>
                <c:pt idx="12">
                  <c:v>#N/A</c:v>
                </c:pt>
                <c:pt idx="13">
                  <c:v>#N/A</c:v>
                </c:pt>
                <c:pt idx="14">
                  <c:v>#N/A</c:v>
                </c:pt>
                <c:pt idx="15">
                  <c:v>#N/A</c:v>
                </c:pt>
                <c:pt idx="16">
                  <c:v>#N/A</c:v>
                </c:pt>
                <c:pt idx="17">
                  <c:v>#N/A</c:v>
                </c:pt>
                <c:pt idx="18">
                  <c:v>#N/A</c:v>
                </c:pt>
                <c:pt idx="19">
                  <c:v>#N/A</c:v>
                </c:pt>
                <c:pt idx="20">
                  <c:v>#N/A</c:v>
                </c:pt>
              </c:numCache>
            </c:numRef>
          </c:val>
          <c:smooth val="0"/>
          <c:extLst>
            <c:ext xmlns:c16="http://schemas.microsoft.com/office/drawing/2014/chart" uri="{C3380CC4-5D6E-409C-BE32-E72D297353CC}">
              <c16:uniqueId val="{00000001-DC50-064A-BD81-DB2F883EB96F}"/>
            </c:ext>
          </c:extLst>
        </c:ser>
        <c:ser>
          <c:idx val="2"/>
          <c:order val="2"/>
          <c:tx>
            <c:strRef>
              <c:f>'Best worst campaign'!$G$3</c:f>
              <c:strCache>
                <c:ptCount val="1"/>
                <c:pt idx="0">
                  <c:v>MIN Conversion</c:v>
                </c:pt>
              </c:strCache>
            </c:strRef>
          </c:tx>
          <c:spPr>
            <a:ln w="28575" cap="rnd">
              <a:solidFill>
                <a:schemeClr val="bg1"/>
              </a:solidFill>
              <a:round/>
            </a:ln>
            <a:effectLst/>
          </c:spPr>
          <c:marker>
            <c:symbol val="circle"/>
            <c:size val="5"/>
            <c:spPr>
              <a:solidFill>
                <a:schemeClr val="accent4"/>
              </a:solidFill>
              <a:ln w="63500">
                <a:solidFill>
                  <a:schemeClr val="accent4"/>
                </a:solidFill>
              </a:ln>
              <a:effectLst/>
            </c:spPr>
          </c:marker>
          <c:cat>
            <c:strRef>
              <c:f>'Best worst campaign'!$D$4:$D$24</c:f>
              <c:strCache>
                <c:ptCount val="21"/>
                <c:pt idx="0">
                  <c:v>365 email</c:v>
                </c:pt>
                <c:pt idx="1">
                  <c:v>Abandoned cart</c:v>
                </c:pt>
                <c:pt idx="2">
                  <c:v>Conversion</c:v>
                </c:pt>
                <c:pt idx="3">
                  <c:v>credit vouchers</c:v>
                </c:pt>
                <c:pt idx="4">
                  <c:v>email</c:v>
                </c:pt>
                <c:pt idx="5">
                  <c:v>Excom Email</c:v>
                </c:pt>
                <c:pt idx="6">
                  <c:v>Exprom Email</c:v>
                </c:pt>
                <c:pt idx="7">
                  <c:v>Exprom Sponsor Acquisition</c:v>
                </c:pt>
                <c:pt idx="8">
                  <c:v>Newsletter</c:v>
                </c:pt>
                <c:pt idx="9">
                  <c:v>Non-member comms</c:v>
                </c:pt>
                <c:pt idx="10">
                  <c:v>Operational Comms</c:v>
                </c:pt>
                <c:pt idx="11">
                  <c:v>Speaker Presentations</c:v>
                </c:pt>
                <c:pt idx="12">
                  <c:v>Speakers</c:v>
                </c:pt>
                <c:pt idx="13">
                  <c:v>spex</c:v>
                </c:pt>
                <c:pt idx="14">
                  <c:v>Visprom Conversion Email</c:v>
                </c:pt>
                <c:pt idx="15">
                  <c:v>Visprom Email</c:v>
                </c:pt>
                <c:pt idx="16">
                  <c:v>Visprom Registration DS Email</c:v>
                </c:pt>
                <c:pt idx="17">
                  <c:v>Visprom Registration Email</c:v>
                </c:pt>
                <c:pt idx="18">
                  <c:v>Visprom Registration Webinar</c:v>
                </c:pt>
                <c:pt idx="19">
                  <c:v>WebinarEmails</c:v>
                </c:pt>
                <c:pt idx="20">
                  <c:v>webinars</c:v>
                </c:pt>
              </c:strCache>
            </c:strRef>
          </c:cat>
          <c:val>
            <c:numRef>
              <c:f>'Best worst campaign'!$G$4:$G$24</c:f>
              <c:numCache>
                <c:formatCode>0%</c:formatCode>
                <c:ptCount val="21"/>
                <c:pt idx="0">
                  <c:v>#N/A</c:v>
                </c:pt>
                <c:pt idx="1">
                  <c:v>#N/A</c:v>
                </c:pt>
                <c:pt idx="2">
                  <c:v>#N/A</c:v>
                </c:pt>
                <c:pt idx="3">
                  <c:v>#N/A</c:v>
                </c:pt>
                <c:pt idx="4">
                  <c:v>#N/A</c:v>
                </c:pt>
                <c:pt idx="5">
                  <c:v>#N/A</c:v>
                </c:pt>
                <c:pt idx="6">
                  <c:v>#N/A</c:v>
                </c:pt>
                <c:pt idx="7">
                  <c:v>#N/A</c:v>
                </c:pt>
                <c:pt idx="8">
                  <c:v>#N/A</c:v>
                </c:pt>
                <c:pt idx="9">
                  <c:v>#N/A</c:v>
                </c:pt>
                <c:pt idx="10">
                  <c:v>#N/A</c:v>
                </c:pt>
                <c:pt idx="11">
                  <c:v>8.2589285714285712E-2</c:v>
                </c:pt>
                <c:pt idx="12">
                  <c:v>#N/A</c:v>
                </c:pt>
                <c:pt idx="13">
                  <c:v>#N/A</c:v>
                </c:pt>
                <c:pt idx="14">
                  <c:v>#N/A</c:v>
                </c:pt>
                <c:pt idx="15">
                  <c:v>#N/A</c:v>
                </c:pt>
                <c:pt idx="16">
                  <c:v>#N/A</c:v>
                </c:pt>
                <c:pt idx="17">
                  <c:v>#N/A</c:v>
                </c:pt>
                <c:pt idx="18">
                  <c:v>#N/A</c:v>
                </c:pt>
                <c:pt idx="19">
                  <c:v>#N/A</c:v>
                </c:pt>
                <c:pt idx="20">
                  <c:v>#N/A</c:v>
                </c:pt>
              </c:numCache>
            </c:numRef>
          </c:val>
          <c:smooth val="0"/>
          <c:extLst>
            <c:ext xmlns:c16="http://schemas.microsoft.com/office/drawing/2014/chart" uri="{C3380CC4-5D6E-409C-BE32-E72D297353CC}">
              <c16:uniqueId val="{00000002-DC50-064A-BD81-DB2F883EB96F}"/>
            </c:ext>
          </c:extLst>
        </c:ser>
        <c:dLbls>
          <c:showLegendKey val="0"/>
          <c:showVal val="0"/>
          <c:showCatName val="0"/>
          <c:showSerName val="0"/>
          <c:showPercent val="0"/>
          <c:showBubbleSize val="0"/>
        </c:dLbls>
        <c:marker val="1"/>
        <c:smooth val="0"/>
        <c:axId val="331260176"/>
        <c:axId val="354624240"/>
      </c:lineChart>
      <c:catAx>
        <c:axId val="33126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624240"/>
        <c:crosses val="autoZero"/>
        <c:auto val="1"/>
        <c:lblAlgn val="ctr"/>
        <c:lblOffset val="100"/>
        <c:noMultiLvlLbl val="0"/>
      </c:catAx>
      <c:valAx>
        <c:axId val="354624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260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[Email Campaign &amp; Audience Analysis Dashboard copy.xlsx]Email performance over time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tx1"/>
                </a:solidFill>
                <a:effectLst/>
              </a:rPr>
              <a:t>Email campaign performing over time</a:t>
            </a:r>
            <a:r>
              <a:rPr lang="en-GB"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pivotFmt>
      <c:pivotFmt>
        <c:idx val="3"/>
        <c:spPr>
          <a:solidFill>
            <a:schemeClr val="accent6">
              <a:lumMod val="50000"/>
            </a:schemeClr>
          </a:solidFill>
          <a:ln>
            <a:noFill/>
          </a:ln>
          <a:effectLst/>
        </c:spPr>
        <c:marker>
          <c:symbol val="none"/>
        </c:marker>
      </c:pivotFmt>
      <c:pivotFmt>
        <c:idx val="4"/>
        <c:spPr>
          <a:solidFill>
            <a:schemeClr val="bg2">
              <a:lumMod val="75000"/>
            </a:schemeClr>
          </a:solidFill>
          <a:ln>
            <a:noFill/>
          </a:ln>
          <a:effectLst/>
        </c:spPr>
        <c:marker>
          <c:symbol val="none"/>
        </c:marker>
      </c:pivotFmt>
    </c:pivotFmts>
    <c:plotArea>
      <c:layout/>
      <c:barChart>
        <c:barDir val="col"/>
        <c:grouping val="clustered"/>
        <c:varyColors val="0"/>
        <c:ser>
          <c:idx val="0"/>
          <c:order val="0"/>
          <c:tx>
            <c:strRef>
              <c:f>'Email performance over time '!$B$3</c:f>
              <c:strCache>
                <c:ptCount val="1"/>
                <c:pt idx="0">
                  <c:v>Email open</c:v>
                </c:pt>
              </c:strCache>
            </c:strRef>
          </c:tx>
          <c:spPr>
            <a:solidFill>
              <a:schemeClr val="bg2">
                <a:lumMod val="75000"/>
              </a:schemeClr>
            </a:solidFill>
            <a:ln>
              <a:noFill/>
            </a:ln>
            <a:effectLst/>
          </c:spPr>
          <c:invertIfNegative val="0"/>
          <c:cat>
            <c:strRef>
              <c:f>'Email performance over time '!$A$4:$A$16</c:f>
              <c:strCache>
                <c:ptCount val="12"/>
                <c:pt idx="0">
                  <c:v>Feb</c:v>
                </c:pt>
                <c:pt idx="1">
                  <c:v>Apr</c:v>
                </c:pt>
                <c:pt idx="2">
                  <c:v>Jun</c:v>
                </c:pt>
                <c:pt idx="3">
                  <c:v>May</c:v>
                </c:pt>
                <c:pt idx="4">
                  <c:v>Mar</c:v>
                </c:pt>
                <c:pt idx="5">
                  <c:v>Sep</c:v>
                </c:pt>
                <c:pt idx="6">
                  <c:v>Jul</c:v>
                </c:pt>
                <c:pt idx="7">
                  <c:v>Aug</c:v>
                </c:pt>
                <c:pt idx="8">
                  <c:v>Jan</c:v>
                </c:pt>
                <c:pt idx="9">
                  <c:v>Dec</c:v>
                </c:pt>
                <c:pt idx="10">
                  <c:v>Nov</c:v>
                </c:pt>
                <c:pt idx="11">
                  <c:v>Oct</c:v>
                </c:pt>
              </c:strCache>
            </c:strRef>
          </c:cat>
          <c:val>
            <c:numRef>
              <c:f>'Email performance over time '!$B$4:$B$16</c:f>
              <c:numCache>
                <c:formatCode>0%</c:formatCode>
                <c:ptCount val="12"/>
                <c:pt idx="0">
                  <c:v>0.41017797993425265</c:v>
                </c:pt>
                <c:pt idx="1">
                  <c:v>0.37815075430734874</c:v>
                </c:pt>
                <c:pt idx="2">
                  <c:v>0.32136325750306854</c:v>
                </c:pt>
                <c:pt idx="3">
                  <c:v>0.37167214281830913</c:v>
                </c:pt>
                <c:pt idx="4">
                  <c:v>0.30536589057369934</c:v>
                </c:pt>
                <c:pt idx="5">
                  <c:v>0.31568608050056696</c:v>
                </c:pt>
                <c:pt idx="6">
                  <c:v>0.31838871300734201</c:v>
                </c:pt>
                <c:pt idx="7">
                  <c:v>0.34123760869916847</c:v>
                </c:pt>
                <c:pt idx="8">
                  <c:v>0.48853850404180343</c:v>
                </c:pt>
                <c:pt idx="9">
                  <c:v>0.31243997748894003</c:v>
                </c:pt>
                <c:pt idx="10">
                  <c:v>0.34324306282253675</c:v>
                </c:pt>
                <c:pt idx="11">
                  <c:v>0.30299332690297021</c:v>
                </c:pt>
              </c:numCache>
            </c:numRef>
          </c:val>
          <c:extLst>
            <c:ext xmlns:c16="http://schemas.microsoft.com/office/drawing/2014/chart" uri="{C3380CC4-5D6E-409C-BE32-E72D297353CC}">
              <c16:uniqueId val="{00000000-224F-2D45-A5DA-9792C50299B3}"/>
            </c:ext>
          </c:extLst>
        </c:ser>
        <c:ser>
          <c:idx val="1"/>
          <c:order val="1"/>
          <c:tx>
            <c:strRef>
              <c:f>'Email performance over time '!$C$3</c:f>
              <c:strCache>
                <c:ptCount val="1"/>
                <c:pt idx="0">
                  <c:v>Engagement through clicks</c:v>
                </c:pt>
              </c:strCache>
            </c:strRef>
          </c:tx>
          <c:spPr>
            <a:solidFill>
              <a:schemeClr val="accent6">
                <a:lumMod val="50000"/>
              </a:schemeClr>
            </a:solidFill>
            <a:ln>
              <a:noFill/>
            </a:ln>
            <a:effectLst/>
          </c:spPr>
          <c:invertIfNegative val="0"/>
          <c:cat>
            <c:strRef>
              <c:f>'Email performance over time '!$A$4:$A$16</c:f>
              <c:strCache>
                <c:ptCount val="12"/>
                <c:pt idx="0">
                  <c:v>Feb</c:v>
                </c:pt>
                <c:pt idx="1">
                  <c:v>Apr</c:v>
                </c:pt>
                <c:pt idx="2">
                  <c:v>Jun</c:v>
                </c:pt>
                <c:pt idx="3">
                  <c:v>May</c:v>
                </c:pt>
                <c:pt idx="4">
                  <c:v>Mar</c:v>
                </c:pt>
                <c:pt idx="5">
                  <c:v>Sep</c:v>
                </c:pt>
                <c:pt idx="6">
                  <c:v>Jul</c:v>
                </c:pt>
                <c:pt idx="7">
                  <c:v>Aug</c:v>
                </c:pt>
                <c:pt idx="8">
                  <c:v>Jan</c:v>
                </c:pt>
                <c:pt idx="9">
                  <c:v>Dec</c:v>
                </c:pt>
                <c:pt idx="10">
                  <c:v>Nov</c:v>
                </c:pt>
                <c:pt idx="11">
                  <c:v>Oct</c:v>
                </c:pt>
              </c:strCache>
            </c:strRef>
          </c:cat>
          <c:val>
            <c:numRef>
              <c:f>'Email performance over time '!$C$4:$C$16</c:f>
              <c:numCache>
                <c:formatCode>0%</c:formatCode>
                <c:ptCount val="12"/>
                <c:pt idx="0">
                  <c:v>6.4873532903207284E-2</c:v>
                </c:pt>
                <c:pt idx="1">
                  <c:v>5.0778106836037749E-2</c:v>
                </c:pt>
                <c:pt idx="2">
                  <c:v>6.203442682145386E-2</c:v>
                </c:pt>
                <c:pt idx="3">
                  <c:v>7.2356896846808141E-2</c:v>
                </c:pt>
                <c:pt idx="4">
                  <c:v>3.3986790807977181E-2</c:v>
                </c:pt>
                <c:pt idx="5">
                  <c:v>0.14315285888593793</c:v>
                </c:pt>
                <c:pt idx="6">
                  <c:v>0.10074049970030355</c:v>
                </c:pt>
                <c:pt idx="7">
                  <c:v>0.11141408462407394</c:v>
                </c:pt>
                <c:pt idx="8">
                  <c:v>0.15880569529449587</c:v>
                </c:pt>
                <c:pt idx="9">
                  <c:v>0.18102473606819799</c:v>
                </c:pt>
                <c:pt idx="10">
                  <c:v>0.15129147916011876</c:v>
                </c:pt>
                <c:pt idx="11">
                  <c:v>8.8604740388694384E-2</c:v>
                </c:pt>
              </c:numCache>
            </c:numRef>
          </c:val>
          <c:extLst>
            <c:ext xmlns:c16="http://schemas.microsoft.com/office/drawing/2014/chart" uri="{C3380CC4-5D6E-409C-BE32-E72D297353CC}">
              <c16:uniqueId val="{00000001-224F-2D45-A5DA-9792C50299B3}"/>
            </c:ext>
          </c:extLst>
        </c:ser>
        <c:ser>
          <c:idx val="2"/>
          <c:order val="2"/>
          <c:tx>
            <c:strRef>
              <c:f>'Email performance over time '!$D$3</c:f>
              <c:strCache>
                <c:ptCount val="1"/>
                <c:pt idx="0">
                  <c:v>Visitor to product page</c:v>
                </c:pt>
              </c:strCache>
            </c:strRef>
          </c:tx>
          <c:spPr>
            <a:solidFill>
              <a:schemeClr val="accent2">
                <a:lumMod val="50000"/>
              </a:schemeClr>
            </a:solidFill>
            <a:ln>
              <a:noFill/>
            </a:ln>
            <a:effectLst/>
          </c:spPr>
          <c:invertIfNegative val="0"/>
          <c:cat>
            <c:strRef>
              <c:f>'Email performance over time '!$A$4:$A$16</c:f>
              <c:strCache>
                <c:ptCount val="12"/>
                <c:pt idx="0">
                  <c:v>Feb</c:v>
                </c:pt>
                <c:pt idx="1">
                  <c:v>Apr</c:v>
                </c:pt>
                <c:pt idx="2">
                  <c:v>Jun</c:v>
                </c:pt>
                <c:pt idx="3">
                  <c:v>May</c:v>
                </c:pt>
                <c:pt idx="4">
                  <c:v>Mar</c:v>
                </c:pt>
                <c:pt idx="5">
                  <c:v>Sep</c:v>
                </c:pt>
                <c:pt idx="6">
                  <c:v>Jul</c:v>
                </c:pt>
                <c:pt idx="7">
                  <c:v>Aug</c:v>
                </c:pt>
                <c:pt idx="8">
                  <c:v>Jan</c:v>
                </c:pt>
                <c:pt idx="9">
                  <c:v>Dec</c:v>
                </c:pt>
                <c:pt idx="10">
                  <c:v>Nov</c:v>
                </c:pt>
                <c:pt idx="11">
                  <c:v>Oct</c:v>
                </c:pt>
              </c:strCache>
            </c:strRef>
          </c:cat>
          <c:val>
            <c:numRef>
              <c:f>'Email performance over time '!$D$4:$D$16</c:f>
              <c:numCache>
                <c:formatCode>0%</c:formatCode>
                <c:ptCount val="12"/>
                <c:pt idx="0">
                  <c:v>0.26308230817058992</c:v>
                </c:pt>
                <c:pt idx="1">
                  <c:v>0.32023569141325947</c:v>
                </c:pt>
                <c:pt idx="2">
                  <c:v>0.34561345037544167</c:v>
                </c:pt>
                <c:pt idx="3">
                  <c:v>0.35975838070946164</c:v>
                </c:pt>
                <c:pt idx="4">
                  <c:v>0.36320490676983458</c:v>
                </c:pt>
                <c:pt idx="5">
                  <c:v>0.39871716282507874</c:v>
                </c:pt>
                <c:pt idx="6">
                  <c:v>0.40435679381701189</c:v>
                </c:pt>
                <c:pt idx="7">
                  <c:v>0.41590915530246408</c:v>
                </c:pt>
                <c:pt idx="8">
                  <c:v>0.4208799702055866</c:v>
                </c:pt>
                <c:pt idx="9">
                  <c:v>0.4285656437659095</c:v>
                </c:pt>
                <c:pt idx="10">
                  <c:v>0.44788242215080737</c:v>
                </c:pt>
                <c:pt idx="11">
                  <c:v>0.4601671075972501</c:v>
                </c:pt>
              </c:numCache>
            </c:numRef>
          </c:val>
          <c:extLst>
            <c:ext xmlns:c16="http://schemas.microsoft.com/office/drawing/2014/chart" uri="{C3380CC4-5D6E-409C-BE32-E72D297353CC}">
              <c16:uniqueId val="{00000002-224F-2D45-A5DA-9792C50299B3}"/>
            </c:ext>
          </c:extLst>
        </c:ser>
        <c:dLbls>
          <c:showLegendKey val="0"/>
          <c:showVal val="0"/>
          <c:showCatName val="0"/>
          <c:showSerName val="0"/>
          <c:showPercent val="0"/>
          <c:showBubbleSize val="0"/>
        </c:dLbls>
        <c:gapWidth val="219"/>
        <c:overlap val="-27"/>
        <c:axId val="2029466703"/>
        <c:axId val="2029672575"/>
      </c:barChart>
      <c:catAx>
        <c:axId val="202946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672575"/>
        <c:crosses val="autoZero"/>
        <c:auto val="1"/>
        <c:lblAlgn val="ctr"/>
        <c:lblOffset val="100"/>
        <c:noMultiLvlLbl val="0"/>
      </c:catAx>
      <c:valAx>
        <c:axId val="2029672575"/>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46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16934</xdr:colOff>
      <xdr:row>14</xdr:row>
      <xdr:rowOff>13955</xdr:rowOff>
    </xdr:from>
    <xdr:to>
      <xdr:col>11</xdr:col>
      <xdr:colOff>16934</xdr:colOff>
      <xdr:row>49</xdr:row>
      <xdr:rowOff>80634</xdr:rowOff>
    </xdr:to>
    <xdr:graphicFrame macro="">
      <xdr:nvGraphicFramePr>
        <xdr:cNvPr id="7" name="Chart 6">
          <a:extLst>
            <a:ext uri="{FF2B5EF4-FFF2-40B4-BE49-F238E27FC236}">
              <a16:creationId xmlns:a16="http://schemas.microsoft.com/office/drawing/2014/main" id="{D42CB5EE-7ED6-2848-8405-F6C3FEB84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106191</xdr:colOff>
      <xdr:row>5</xdr:row>
      <xdr:rowOff>45905</xdr:rowOff>
    </xdr:from>
    <xdr:to>
      <xdr:col>27</xdr:col>
      <xdr:colOff>110168</xdr:colOff>
      <xdr:row>12</xdr:row>
      <xdr:rowOff>122410</xdr:rowOff>
    </xdr:to>
    <mc:AlternateContent xmlns:mc="http://schemas.openxmlformats.org/markup-compatibility/2006" xmlns:a14="http://schemas.microsoft.com/office/drawing/2010/main">
      <mc:Choice Requires="a14">
        <xdr:graphicFrame macro="">
          <xdr:nvGraphicFramePr>
            <xdr:cNvPr id="9" name="Country 1">
              <a:extLst>
                <a:ext uri="{FF2B5EF4-FFF2-40B4-BE49-F238E27FC236}">
                  <a16:creationId xmlns:a16="http://schemas.microsoft.com/office/drawing/2014/main" id="{33493BAE-A0BC-074A-7AD4-9F82ECE654B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0086012" y="953048"/>
              <a:ext cx="2453263" cy="1346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178594</xdr:colOff>
      <xdr:row>5</xdr:row>
      <xdr:rowOff>14021</xdr:rowOff>
    </xdr:from>
    <xdr:to>
      <xdr:col>23</xdr:col>
      <xdr:colOff>774556</xdr:colOff>
      <xdr:row>12</xdr:row>
      <xdr:rowOff>137711</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B4D54990-66EC-C7AA-AB97-19FCB91E41C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736094" y="1006209"/>
              <a:ext cx="2500962" cy="1791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229517</xdr:colOff>
      <xdr:row>5</xdr:row>
      <xdr:rowOff>76507</xdr:rowOff>
    </xdr:from>
    <xdr:to>
      <xdr:col>29</xdr:col>
      <xdr:colOff>780361</xdr:colOff>
      <xdr:row>26</xdr:row>
      <xdr:rowOff>15301</xdr:rowOff>
    </xdr:to>
    <mc:AlternateContent xmlns:mc="http://schemas.openxmlformats.org/markup-compatibility/2006" xmlns:a14="http://schemas.microsoft.com/office/drawing/2010/main">
      <mc:Choice Requires="a14">
        <xdr:graphicFrame macro="">
          <xdr:nvGraphicFramePr>
            <xdr:cNvPr id="11" name="Company Type">
              <a:extLst>
                <a:ext uri="{FF2B5EF4-FFF2-40B4-BE49-F238E27FC236}">
                  <a16:creationId xmlns:a16="http://schemas.microsoft.com/office/drawing/2014/main" id="{E863ECF5-2143-2C01-1118-56B4B04F86F9}"/>
                </a:ext>
              </a:extLst>
            </xdr:cNvPr>
            <xdr:cNvGraphicFramePr/>
          </xdr:nvGraphicFramePr>
          <xdr:xfrm>
            <a:off x="0" y="0"/>
            <a:ext cx="0" cy="0"/>
          </xdr:xfrm>
          <a:graphic>
            <a:graphicData uri="http://schemas.microsoft.com/office/drawing/2010/slicer">
              <sle:slicer xmlns:sle="http://schemas.microsoft.com/office/drawing/2010/slicer" name="Company Type"/>
            </a:graphicData>
          </a:graphic>
        </xdr:graphicFrame>
      </mc:Choice>
      <mc:Fallback xmlns="">
        <xdr:sp macro="" textlink="">
          <xdr:nvSpPr>
            <xdr:cNvPr id="0" name=""/>
            <xdr:cNvSpPr>
              <a:spLocks noTextEdit="1"/>
            </xdr:cNvSpPr>
          </xdr:nvSpPr>
          <xdr:spPr>
            <a:xfrm>
              <a:off x="22658624" y="983650"/>
              <a:ext cx="2183701" cy="3748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259203</xdr:colOff>
      <xdr:row>27</xdr:row>
      <xdr:rowOff>76507</xdr:rowOff>
    </xdr:from>
    <xdr:to>
      <xdr:col>29</xdr:col>
      <xdr:colOff>765061</xdr:colOff>
      <xdr:row>49</xdr:row>
      <xdr:rowOff>40318</xdr:rowOff>
    </xdr:to>
    <mc:AlternateContent xmlns:mc="http://schemas.openxmlformats.org/markup-compatibility/2006" xmlns:a14="http://schemas.microsoft.com/office/drawing/2010/main">
      <mc:Choice Requires="a14">
        <xdr:graphicFrame macro="">
          <xdr:nvGraphicFramePr>
            <xdr:cNvPr id="2" name="Seniority">
              <a:extLst>
                <a:ext uri="{FF2B5EF4-FFF2-40B4-BE49-F238E27FC236}">
                  <a16:creationId xmlns:a16="http://schemas.microsoft.com/office/drawing/2014/main" id="{E814A34F-9567-F754-DB06-043AE625D0A6}"/>
                </a:ext>
              </a:extLst>
            </xdr:cNvPr>
            <xdr:cNvGraphicFramePr/>
          </xdr:nvGraphicFramePr>
          <xdr:xfrm>
            <a:off x="0" y="0"/>
            <a:ext cx="0" cy="0"/>
          </xdr:xfrm>
          <a:graphic>
            <a:graphicData uri="http://schemas.microsoft.com/office/drawing/2010/slicer">
              <sle:slicer xmlns:sle="http://schemas.microsoft.com/office/drawing/2010/slicer" name="Seniority"/>
            </a:graphicData>
          </a:graphic>
        </xdr:graphicFrame>
      </mc:Choice>
      <mc:Fallback xmlns="">
        <xdr:sp macro="" textlink="">
          <xdr:nvSpPr>
            <xdr:cNvPr id="0" name=""/>
            <xdr:cNvSpPr>
              <a:spLocks noTextEdit="1"/>
            </xdr:cNvSpPr>
          </xdr:nvSpPr>
          <xdr:spPr>
            <a:xfrm>
              <a:off x="22688310" y="4975078"/>
              <a:ext cx="2138715" cy="3955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293076</xdr:colOff>
      <xdr:row>14</xdr:row>
      <xdr:rowOff>0</xdr:rowOff>
    </xdr:from>
    <xdr:to>
      <xdr:col>19</xdr:col>
      <xdr:colOff>795494</xdr:colOff>
      <xdr:row>31</xdr:row>
      <xdr:rowOff>55824</xdr:rowOff>
    </xdr:to>
    <xdr:graphicFrame macro="">
      <xdr:nvGraphicFramePr>
        <xdr:cNvPr id="4" name="Chart 3">
          <a:extLst>
            <a:ext uri="{FF2B5EF4-FFF2-40B4-BE49-F238E27FC236}">
              <a16:creationId xmlns:a16="http://schemas.microsoft.com/office/drawing/2014/main" id="{953742B7-E1EF-B74E-8FC8-8752CD88E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41589</xdr:colOff>
      <xdr:row>5</xdr:row>
      <xdr:rowOff>159657</xdr:rowOff>
    </xdr:from>
    <xdr:to>
      <xdr:col>19</xdr:col>
      <xdr:colOff>809451</xdr:colOff>
      <xdr:row>12</xdr:row>
      <xdr:rowOff>112765</xdr:rowOff>
    </xdr:to>
    <mc:AlternateContent xmlns:mc="http://schemas.openxmlformats.org/markup-compatibility/2006" xmlns:tsle="http://schemas.microsoft.com/office/drawing/2012/timeslicer">
      <mc:Choice Requires="tsle">
        <xdr:graphicFrame macro="">
          <xdr:nvGraphicFramePr>
            <xdr:cNvPr id="3" name="Created date">
              <a:extLst>
                <a:ext uri="{FF2B5EF4-FFF2-40B4-BE49-F238E27FC236}">
                  <a16:creationId xmlns:a16="http://schemas.microsoft.com/office/drawing/2014/main" id="{243CF68D-98B9-7514-2141-7AA54CD01B5C}"/>
                </a:ext>
              </a:extLst>
            </xdr:cNvPr>
            <xdr:cNvGraphicFramePr/>
          </xdr:nvGraphicFramePr>
          <xdr:xfrm>
            <a:off x="0" y="0"/>
            <a:ext cx="0" cy="0"/>
          </xdr:xfrm>
          <a:graphic>
            <a:graphicData uri="http://schemas.microsoft.com/office/drawing/2012/timeslicer">
              <tsle:timeslicer name="Created date"/>
            </a:graphicData>
          </a:graphic>
        </xdr:graphicFrame>
      </mc:Choice>
      <mc:Fallback xmlns="">
        <xdr:sp macro="" textlink="">
          <xdr:nvSpPr>
            <xdr:cNvPr id="0" name=""/>
            <xdr:cNvSpPr>
              <a:spLocks noTextEdit="1"/>
            </xdr:cNvSpPr>
          </xdr:nvSpPr>
          <xdr:spPr>
            <a:xfrm>
              <a:off x="295589" y="1136580"/>
              <a:ext cx="17082477"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12</xdr:col>
      <xdr:colOff>1008</xdr:colOff>
      <xdr:row>32</xdr:row>
      <xdr:rowOff>121064</xdr:rowOff>
    </xdr:from>
    <xdr:to>
      <xdr:col>19</xdr:col>
      <xdr:colOff>809451</xdr:colOff>
      <xdr:row>49</xdr:row>
      <xdr:rowOff>77009</xdr:rowOff>
    </xdr:to>
    <xdr:graphicFrame macro="">
      <xdr:nvGraphicFramePr>
        <xdr:cNvPr id="6" name="Chart 5">
          <a:extLst>
            <a:ext uri="{FF2B5EF4-FFF2-40B4-BE49-F238E27FC236}">
              <a16:creationId xmlns:a16="http://schemas.microsoft.com/office/drawing/2014/main" id="{B5D29BE8-9B28-C647-BD80-27037D7E9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135467</xdr:colOff>
      <xdr:row>14</xdr:row>
      <xdr:rowOff>16934</xdr:rowOff>
    </xdr:from>
    <xdr:to>
      <xdr:col>27</xdr:col>
      <xdr:colOff>118533</xdr:colOff>
      <xdr:row>49</xdr:row>
      <xdr:rowOff>50800</xdr:rowOff>
    </xdr:to>
    <xdr:graphicFrame macro="">
      <xdr:nvGraphicFramePr>
        <xdr:cNvPr id="5" name="Chart 4">
          <a:extLst>
            <a:ext uri="{FF2B5EF4-FFF2-40B4-BE49-F238E27FC236}">
              <a16:creationId xmlns:a16="http://schemas.microsoft.com/office/drawing/2014/main" id="{3B376FE5-9FD0-B84D-BF81-13D48EF86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502875</xdr:colOff>
      <xdr:row>5</xdr:row>
      <xdr:rowOff>28540</xdr:rowOff>
    </xdr:from>
    <xdr:to>
      <xdr:col>15</xdr:col>
      <xdr:colOff>268480</xdr:colOff>
      <xdr:row>14</xdr:row>
      <xdr:rowOff>156967</xdr:rowOff>
    </xdr:to>
    <mc:AlternateContent xmlns:mc="http://schemas.openxmlformats.org/markup-compatibility/2006" xmlns:a14="http://schemas.microsoft.com/office/drawing/2010/main">
      <mc:Choice Requires="a14">
        <xdr:graphicFrame macro="">
          <xdr:nvGraphicFramePr>
            <xdr:cNvPr id="4" name="Campaign Name">
              <a:extLst>
                <a:ext uri="{FF2B5EF4-FFF2-40B4-BE49-F238E27FC236}">
                  <a16:creationId xmlns:a16="http://schemas.microsoft.com/office/drawing/2014/main" id="{6B992E1A-A1FA-DE09-9799-7727C23E973E}"/>
                </a:ext>
              </a:extLst>
            </xdr:cNvPr>
            <xdr:cNvGraphicFramePr/>
          </xdr:nvGraphicFramePr>
          <xdr:xfrm>
            <a:off x="0" y="0"/>
            <a:ext cx="0" cy="0"/>
          </xdr:xfrm>
          <a:graphic>
            <a:graphicData uri="http://schemas.microsoft.com/office/drawing/2010/slicer">
              <sle:slicer xmlns:sle="http://schemas.microsoft.com/office/drawing/2010/slicer" name="Campaign Name"/>
            </a:graphicData>
          </a:graphic>
        </xdr:graphicFrame>
      </mc:Choice>
      <mc:Fallback xmlns="">
        <xdr:sp macro="" textlink="">
          <xdr:nvSpPr>
            <xdr:cNvPr id="0" name=""/>
            <xdr:cNvSpPr>
              <a:spLocks noTextEdit="1"/>
            </xdr:cNvSpPr>
          </xdr:nvSpPr>
          <xdr:spPr>
            <a:xfrm>
              <a:off x="9348314" y="1069476"/>
              <a:ext cx="3285957" cy="1871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8467</xdr:colOff>
      <xdr:row>42</xdr:row>
      <xdr:rowOff>37910</xdr:rowOff>
    </xdr:from>
    <xdr:to>
      <xdr:col>21</xdr:col>
      <xdr:colOff>0</xdr:colOff>
      <xdr:row>67</xdr:row>
      <xdr:rowOff>1</xdr:rowOff>
    </xdr:to>
    <xdr:graphicFrame macro="">
      <xdr:nvGraphicFramePr>
        <xdr:cNvPr id="7" name="Chart 6">
          <a:extLst>
            <a:ext uri="{FF2B5EF4-FFF2-40B4-BE49-F238E27FC236}">
              <a16:creationId xmlns:a16="http://schemas.microsoft.com/office/drawing/2014/main" id="{890268B8-6985-D749-B420-5FEEA8C96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25400</xdr:rowOff>
    </xdr:from>
    <xdr:to>
      <xdr:col>7</xdr:col>
      <xdr:colOff>825937</xdr:colOff>
      <xdr:row>14</xdr:row>
      <xdr:rowOff>152400</xdr:rowOff>
    </xdr:to>
    <mc:AlternateContent xmlns:mc="http://schemas.openxmlformats.org/markup-compatibility/2006" xmlns:tsle="http://schemas.microsoft.com/office/drawing/2012/timeslicer">
      <mc:Choice Requires="tsle">
        <xdr:graphicFrame macro="">
          <xdr:nvGraphicFramePr>
            <xdr:cNvPr id="8" name="Sent On">
              <a:extLst>
                <a:ext uri="{FF2B5EF4-FFF2-40B4-BE49-F238E27FC236}">
                  <a16:creationId xmlns:a16="http://schemas.microsoft.com/office/drawing/2014/main" id="{85232E51-FA46-6FB7-E404-E97F99157BBC}"/>
                </a:ext>
              </a:extLst>
            </xdr:cNvPr>
            <xdr:cNvGraphicFramePr/>
          </xdr:nvGraphicFramePr>
          <xdr:xfrm>
            <a:off x="0" y="0"/>
            <a:ext cx="0" cy="0"/>
          </xdr:xfrm>
          <a:graphic>
            <a:graphicData uri="http://schemas.microsoft.com/office/drawing/2012/timeslicer">
              <tsle:timeslicer name="Sent On"/>
            </a:graphicData>
          </a:graphic>
        </xdr:graphicFrame>
      </mc:Choice>
      <mc:Fallback xmlns="">
        <xdr:sp macro="" textlink="">
          <xdr:nvSpPr>
            <xdr:cNvPr id="0" name=""/>
            <xdr:cNvSpPr>
              <a:spLocks noTextEdit="1"/>
            </xdr:cNvSpPr>
          </xdr:nvSpPr>
          <xdr:spPr>
            <a:xfrm>
              <a:off x="254000" y="956733"/>
              <a:ext cx="5782733" cy="12911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16933</xdr:colOff>
      <xdr:row>16</xdr:row>
      <xdr:rowOff>152399</xdr:rowOff>
    </xdr:from>
    <xdr:to>
      <xdr:col>21</xdr:col>
      <xdr:colOff>0</xdr:colOff>
      <xdr:row>39</xdr:row>
      <xdr:rowOff>4233</xdr:rowOff>
    </xdr:to>
    <xdr:graphicFrame macro="">
      <xdr:nvGraphicFramePr>
        <xdr:cNvPr id="9" name="Chart 8">
          <a:extLst>
            <a:ext uri="{FF2B5EF4-FFF2-40B4-BE49-F238E27FC236}">
              <a16:creationId xmlns:a16="http://schemas.microsoft.com/office/drawing/2014/main" id="{86A6A015-DEC8-CB43-92C4-48126386B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404842</xdr:colOff>
      <xdr:row>5</xdr:row>
      <xdr:rowOff>42810</xdr:rowOff>
    </xdr:from>
    <xdr:to>
      <xdr:col>21</xdr:col>
      <xdr:colOff>2</xdr:colOff>
      <xdr:row>15</xdr:row>
      <xdr:rowOff>0</xdr:rowOff>
    </xdr:to>
    <mc:AlternateContent xmlns:mc="http://schemas.openxmlformats.org/markup-compatibility/2006" xmlns:a14="http://schemas.microsoft.com/office/drawing/2010/main">
      <mc:Choice Requires="a14">
        <xdr:graphicFrame macro="">
          <xdr:nvGraphicFramePr>
            <xdr:cNvPr id="2" name="Subject Line">
              <a:extLst>
                <a:ext uri="{FF2B5EF4-FFF2-40B4-BE49-F238E27FC236}">
                  <a16:creationId xmlns:a16="http://schemas.microsoft.com/office/drawing/2014/main" id="{30B7B993-7594-6C6A-3C77-D09455B8C514}"/>
                </a:ext>
              </a:extLst>
            </xdr:cNvPr>
            <xdr:cNvGraphicFramePr/>
          </xdr:nvGraphicFramePr>
          <xdr:xfrm>
            <a:off x="0" y="0"/>
            <a:ext cx="0" cy="0"/>
          </xdr:xfrm>
          <a:graphic>
            <a:graphicData uri="http://schemas.microsoft.com/office/drawing/2010/slicer">
              <sle:slicer xmlns:sle="http://schemas.microsoft.com/office/drawing/2010/slicer" name="Subject Line"/>
            </a:graphicData>
          </a:graphic>
        </xdr:graphicFrame>
      </mc:Choice>
      <mc:Fallback xmlns="">
        <xdr:sp macro="" textlink="">
          <xdr:nvSpPr>
            <xdr:cNvPr id="0" name=""/>
            <xdr:cNvSpPr>
              <a:spLocks noTextEdit="1"/>
            </xdr:cNvSpPr>
          </xdr:nvSpPr>
          <xdr:spPr>
            <a:xfrm>
              <a:off x="12770631" y="1069028"/>
              <a:ext cx="4541474" cy="1916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664634</xdr:colOff>
      <xdr:row>5</xdr:row>
      <xdr:rowOff>28538</xdr:rowOff>
    </xdr:from>
    <xdr:to>
      <xdr:col>10</xdr:col>
      <xdr:colOff>376768</xdr:colOff>
      <xdr:row>15</xdr:row>
      <xdr:rowOff>0</xdr:rowOff>
    </xdr:to>
    <mc:AlternateContent xmlns:mc="http://schemas.openxmlformats.org/markup-compatibility/2006" xmlns:a14="http://schemas.microsoft.com/office/drawing/2010/main">
      <mc:Choice Requires="a14">
        <xdr:graphicFrame macro="">
          <xdr:nvGraphicFramePr>
            <xdr:cNvPr id="3" name="Time sent">
              <a:extLst>
                <a:ext uri="{FF2B5EF4-FFF2-40B4-BE49-F238E27FC236}">
                  <a16:creationId xmlns:a16="http://schemas.microsoft.com/office/drawing/2014/main" id="{9E289E64-CF0B-D798-D74D-4CB1CE232DDB}"/>
                </a:ext>
              </a:extLst>
            </xdr:cNvPr>
            <xdr:cNvGraphicFramePr/>
          </xdr:nvGraphicFramePr>
          <xdr:xfrm>
            <a:off x="0" y="0"/>
            <a:ext cx="0" cy="0"/>
          </xdr:xfrm>
          <a:graphic>
            <a:graphicData uri="http://schemas.microsoft.com/office/drawing/2010/slicer">
              <sle:slicer xmlns:sle="http://schemas.microsoft.com/office/drawing/2010/slicer" name="Time sent"/>
            </a:graphicData>
          </a:graphic>
        </xdr:graphicFrame>
      </mc:Choice>
      <mc:Fallback xmlns="">
        <xdr:sp macro="" textlink="">
          <xdr:nvSpPr>
            <xdr:cNvPr id="0" name=""/>
            <xdr:cNvSpPr>
              <a:spLocks noTextEdit="1"/>
            </xdr:cNvSpPr>
          </xdr:nvSpPr>
          <xdr:spPr>
            <a:xfrm>
              <a:off x="7393406" y="1091754"/>
              <a:ext cx="1828800" cy="1849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304800</xdr:colOff>
      <xdr:row>13</xdr:row>
      <xdr:rowOff>63500</xdr:rowOff>
    </xdr:from>
    <xdr:to>
      <xdr:col>10</xdr:col>
      <xdr:colOff>336343</xdr:colOff>
      <xdr:row>46</xdr:row>
      <xdr:rowOff>173516</xdr:rowOff>
    </xdr:to>
    <xdr:graphicFrame macro="">
      <xdr:nvGraphicFramePr>
        <xdr:cNvPr id="5" name="Chart 4">
          <a:extLst>
            <a:ext uri="{FF2B5EF4-FFF2-40B4-BE49-F238E27FC236}">
              <a16:creationId xmlns:a16="http://schemas.microsoft.com/office/drawing/2014/main" id="{7EF23FE2-D46F-4C41-9809-BFA8A778F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10</xdr:row>
      <xdr:rowOff>0</xdr:rowOff>
    </xdr:from>
    <xdr:to>
      <xdr:col>10</xdr:col>
      <xdr:colOff>813797</xdr:colOff>
      <xdr:row>26</xdr:row>
      <xdr:rowOff>129270</xdr:rowOff>
    </xdr:to>
    <xdr:graphicFrame macro="">
      <xdr:nvGraphicFramePr>
        <xdr:cNvPr id="2" name="Chart 1">
          <a:extLst>
            <a:ext uri="{FF2B5EF4-FFF2-40B4-BE49-F238E27FC236}">
              <a16:creationId xmlns:a16="http://schemas.microsoft.com/office/drawing/2014/main" id="{8488AE56-7F04-004F-B44D-E7483146B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99252</xdr:colOff>
      <xdr:row>9</xdr:row>
      <xdr:rowOff>26467</xdr:rowOff>
    </xdr:from>
    <xdr:to>
      <xdr:col>9</xdr:col>
      <xdr:colOff>658479</xdr:colOff>
      <xdr:row>23</xdr:row>
      <xdr:rowOff>80256</xdr:rowOff>
    </xdr:to>
    <xdr:graphicFrame macro="">
      <xdr:nvGraphicFramePr>
        <xdr:cNvPr id="2" name="Chart 1">
          <a:extLst>
            <a:ext uri="{FF2B5EF4-FFF2-40B4-BE49-F238E27FC236}">
              <a16:creationId xmlns:a16="http://schemas.microsoft.com/office/drawing/2014/main" id="{0131CF78-9E88-C33F-DE37-A8477A0F7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12701</xdr:colOff>
      <xdr:row>2</xdr:row>
      <xdr:rowOff>9524</xdr:rowOff>
    </xdr:from>
    <xdr:to>
      <xdr:col>25</xdr:col>
      <xdr:colOff>1041400</xdr:colOff>
      <xdr:row>20</xdr:row>
      <xdr:rowOff>50799</xdr:rowOff>
    </xdr:to>
    <xdr:graphicFrame macro="">
      <xdr:nvGraphicFramePr>
        <xdr:cNvPr id="9" name="Chart 8">
          <a:extLst>
            <a:ext uri="{FF2B5EF4-FFF2-40B4-BE49-F238E27FC236}">
              <a16:creationId xmlns:a16="http://schemas.microsoft.com/office/drawing/2014/main" id="{A6EF6C38-7AAE-2450-1E55-EB8A5E24E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673100</xdr:colOff>
      <xdr:row>26</xdr:row>
      <xdr:rowOff>76200</xdr:rowOff>
    </xdr:from>
    <xdr:to>
      <xdr:col>7</xdr:col>
      <xdr:colOff>1270000</xdr:colOff>
      <xdr:row>48</xdr:row>
      <xdr:rowOff>114300</xdr:rowOff>
    </xdr:to>
    <xdr:graphicFrame macro="">
      <xdr:nvGraphicFramePr>
        <xdr:cNvPr id="5" name="Chart 4">
          <a:extLst>
            <a:ext uri="{FF2B5EF4-FFF2-40B4-BE49-F238E27FC236}">
              <a16:creationId xmlns:a16="http://schemas.microsoft.com/office/drawing/2014/main" id="{23A5FD07-AD8C-9096-DBD7-70D2CAFC8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571500</xdr:colOff>
      <xdr:row>13</xdr:row>
      <xdr:rowOff>152400</xdr:rowOff>
    </xdr:from>
    <xdr:to>
      <xdr:col>8</xdr:col>
      <xdr:colOff>635000</xdr:colOff>
      <xdr:row>36</xdr:row>
      <xdr:rowOff>139700</xdr:rowOff>
    </xdr:to>
    <xdr:graphicFrame macro="">
      <xdr:nvGraphicFramePr>
        <xdr:cNvPr id="4" name="Chart 3">
          <a:extLst>
            <a:ext uri="{FF2B5EF4-FFF2-40B4-BE49-F238E27FC236}">
              <a16:creationId xmlns:a16="http://schemas.microsoft.com/office/drawing/2014/main" id="{16672965-CFB5-20AA-9E10-AE5C3D37C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782.959283680553" createdVersion="6" refreshedVersion="8" minRefreshableVersion="3" recordCount="224" xr:uid="{76165A5B-42CD-0C4E-97FF-18D655EF300B}">
  <cacheSource type="worksheet">
    <worksheetSource name="Table1"/>
  </cacheSource>
  <cacheFields count="27">
    <cacheField name="ID" numFmtId="0">
      <sharedItems containsSemiMixedTypes="0" containsString="0" containsNumber="1" containsInteger="1" minValue="1" maxValue="225"/>
    </cacheField>
    <cacheField name="Campaign Name" numFmtId="0">
      <sharedItems count="21">
        <s v="Visprom Registration Webinar"/>
        <s v="Conversion"/>
        <s v="Operational Comms"/>
        <s v="Non-member comms"/>
        <s v="Visprom Registration DS Email"/>
        <s v="Newsletter"/>
        <s v="Speaker Presentations"/>
        <s v="Exprom Sponsor Acquisition"/>
        <s v="Visprom Registration Email"/>
        <s v="WebinarEmails"/>
        <s v="Exprom Email"/>
        <s v="spex"/>
        <s v="webinars"/>
        <s v="email"/>
        <s v="365 email"/>
        <s v="Excom Email"/>
        <s v="Visprom Conversion Email"/>
        <s v="Visprom Email"/>
        <s v="Abandoned cart"/>
        <s v="credit vouchers"/>
        <s v="Speakers"/>
      </sharedItems>
    </cacheField>
    <cacheField name="Subject Line" numFmtId="0">
      <sharedItems count="187">
        <s v="LAST CHANCE: Overcoming manufacturing challenges for gene-enabled therapies"/>
        <s v="Advanced Therapies Europe - Updated COVID-19 Protocols"/>
        <s v="Advanced Therapies Europe 2024"/>
        <s v="We’re back with news, webinars and exclusive insights ahead of Advanced Therapies Europe 2024"/>
        <s v="Important Information - Pre Event PCR Testing - Advanced Therapies Europe"/>
        <s v="New year, new you, and the first Phacilitate Network email of 2024!"/>
        <s v="How to best use our app - Advanced Therapies Europe"/>
        <s v="Important Information - Action Required - Advanced Therapies Europe"/>
        <s v="Sunrise Yoga Session - Advanced Therapies Europe"/>
        <s v="Will you be joining us at Advanced Therapies Europe?"/>
        <s v="Advanced Therapies Europe 2024- FINAL EXHIBITOR EMAIL"/>
        <s v="Advanced Therapies Europe | Press Pass Information"/>
        <s v="{{Recipient.FirstName}}, make sure you can access the Members Lounge at Advanced Therapies Europe"/>
        <s v="Doors open TOMORROW, {{Recipient.FirstName}}!"/>
        <s v="Update to our partnering app's privacy policy"/>
        <s v="Information regarding the Fun Run - Advanced Therapies Europe"/>
        <s v="Information regarding the Nikki Beach Networking Dinner - Advanced Therapies Europe"/>
        <s v="Phacilitate Match Lunch - Advanced Therapies Europe"/>
        <s v="There's no need to miss out!"/>
        <s v="Advanced Therapies Europe - Presentations"/>
        <s v="Help lead the next generation in advanced therapies"/>
        <s v="We've launched a new Specialist Group!"/>
        <s v="Watch the Superplenary Session from Advanced Therapies Europe 2024 via the Network"/>
        <s v="JUST RELEASED: The Advanced Therapies Europe 2024 Agenda!"/>
        <s v="{{Recipient.FirstName}}, check out the Women in Advanced Therapies 2021 eBook!"/>
        <s v="Dates confirmed for Advanced Therapies Europe 2024"/>
        <s v="{{Recipient.FirstName}}, have you downloaded the sample attendee list for Advanced Therapies Europe yet?"/>
        <s v="{{Recipient.FirstName}}, we need your help!"/>
        <s v="{{Recipient.FirstName}}, I bet you didn't know this..."/>
        <s v="Exclusive Behind-the-Scenes Content from Advanced Therapies Europe Published"/>
        <s v="Why So Shy? – Implementing Disruptive Technologies with Confidence in Cell Therapy"/>
        <s v="An exciting announcement"/>
        <s v="Take a first look at our updated agenda"/>
        <s v="{{Recipient.FirstName}}, have your company featured in the agenda"/>
        <s v="This may be of interest {{Recipient.FirstName}}"/>
        <s v="{{Recipient.FirstName}}, registration is now live for Advanced Therapies Europe!"/>
        <s v="{{Recipient.FirstName}}, will you be joining us in London?"/>
        <s v="We would love to hear your thoughts"/>
        <s v="You'll be pleased to hear..."/>
        <s v="Following up from my email..."/>
        <s v="{{Recipient.FirstName}}, do you have any questions?"/>
        <s v="Celebrating ‘10 Years of CAR-T’"/>
        <s v="Reducing Manufacturing Bottlenecks"/>
        <s v="How we'll be featuring CAR-T at Advanced Therapies Europe 2024"/>
        <s v="Fancy a free yacht party ticket?"/>
        <s v="Discover a new potential partnership at Advanced Therapies Europe 2024"/>
        <s v="Syncona Investment Management - Confirmed"/>
        <s v="AviadoBio’s Lisa Deschamps confirmed to speak"/>
        <s v="What are the biggest challenges the cell and gene therapy industry face today?"/>
        <s v="Does your audience see your brand? Find out how Phacilitate can you reach the right audience!"/>
        <s v="Hey! Join the discussion - Is managing your manufacturing and qualify operations complex or troublesome?"/>
        <s v="{{Recipient.FirstName}}, we would love to showcase your company at Advanced Therapies Europe"/>
        <s v="FDA Approves Novartis’ CAR-T Therapy, Kymriah, for the Treatment of Follicular Lymphoma"/>
        <s v="IMPORTANT EXHIBITOR INFORMATION | Advanced Therapies Europe, 31st August – 1st September 2024, Royal Lancaster Hotel"/>
        <s v="Don't miss out on this weeks webinar! Is managing your manufacturing and qualify operations complex or troublesome?"/>
        <s v="Early Bird ENDS 17th June!"/>
        <s v="Agenda now Live!"/>
        <s v="Fancy catching that worm, {{Recipient.FirstName}}?"/>
        <s v="Hey {{Recipient.FirstName}}, it's the final call for todays exciting webinar! 🧬 Don't miss out 😀"/>
        <s v="What does Sustainability look like for the CGT industry?"/>
        <s v="Sharing a little success story 🧬📖"/>
        <s v="It's finally here! Phacilitate's Market Access Report 2024"/>
        <s v="This months hot topic🔥: how to overcome the toughest challenges in accessing different markets"/>
        <s v="Entries now open"/>
        <s v="Have a spare 2 minutes?"/>
        <s v="2 minutes with... Rafiq Hasan"/>
        <s v="Open me for 50% off your ticket"/>
        <s v="Here is what you missed"/>
        <s v="Quick Question {{Recipient.FirstName}}"/>
        <s v="Meet the judges"/>
        <s v="AstraZeneca and Fujifilm make big plays this week - catch up on the latest, here!"/>
        <s v="Hey {{Recipient.FirstName}}, have you saved the date yet? StemExpress is taking over the stage in our next webinar!🧬 Don't miss out 😀"/>
        <s v="Have you found a feature month that suits you? 🧬📖"/>
        <s v="Please advise {{Recipient.FirstName}}"/>
        <s v="Which category will you win?"/>
        <s v="📣 It's not too late {{Recipient.FirstName}} to join this months webinar; 'Scaling Clinical Cell and Gene Therapies'"/>
        <s v="Following up"/>
        <s v="PR Support for {{Recipient.Company}}"/>
        <s v="Hey {{Recipient.FirstName}}, have you seen Avista Therapeutics' big annoucement?"/>
        <s v="Hey {{Recipient.FirstName}}, have you seen this weeks webinar panel? you still have time to register your place!"/>
        <s v="2 minutes with... Edward Samuel"/>
        <s v="Your Partnering App at Advanced Therapies Europe"/>
        <s v="This may be of interest, {{Recipient.FirstName}}"/>
        <s v="📣Final call! Join us to discuss, Enhancing Allogeneic Donor Recruitment: How Do We Find the Right Donors?"/>
        <s v="Sample Attendee List Available"/>
        <s v="Quick question"/>
        <s v="Are you joining us at the pub?"/>
        <s v="Gene Therapy and the Big Vector Debate: Viral Vs Non-Viral"/>
        <s v="Join us in celebrating Europe’s ‘good news’ from 2024 in London"/>
        <s v="What you're missing out on"/>
        <s v="Content on the agenda to look out for 👀"/>
        <s v="Facilitate the future"/>
        <s v="Which roundtables will you be attending?"/>
        <s v="Make your mark 'on the map'"/>
        <s v="Will you be entering?"/>
        <s v="A sneaky preview 😆"/>
        <s v="Drumroll please 🥁"/>
        <s v="Will you be joining us for a drink {{Recipient.FirstName}}?"/>
        <s v="Manufacturing capacity map - deadline Friday, 19th August"/>
        <s v="It's good news for biotechs"/>
        <s v="Europe’s largest bioscience hub continues to grow - Discover the latest advanced therapies news here!"/>
        <s v="Make sure to join us for a drink, {{Recipient.FirstName}}"/>
        <s v="Know of a young scientist?"/>
        <s v="Quick question about the Patient Advocate Award"/>
        <s v="Has your brand been reaching it's perfect audience?"/>
        <s v="Your brands Advanced Therapies Europe journey start now 🧬📖"/>
        <s v="Important Information - Advanced Therapies Europe"/>
        <s v="The last minute details - Advanced Therapies Europe"/>
        <s v="Advanced Therapies Europe 2024 - One Week To Go"/>
        <s v="Did this pass you by?"/>
        <s v="The key ingredient to avoiding FOMO"/>
        <s v="Information about Pub &amp; Pints"/>
        <s v="The final countdown has begun! ⏰"/>
        <s v="Reminder - You haven't logged onto the Partnering App for Advanced Therapies Europe"/>
        <s v="Time is running out!"/>
        <s v="Here's a taster of what's to come..."/>
        <s v="It's finally here..."/>
        <s v="It's finally here: registration is now open!"/>
        <s v="Simply THANK YOU!"/>
        <s v="Please submit by tomorrow {{Recipient.FirstName}}"/>
        <s v="Thank you for attending Advanced Therapies Europe"/>
        <s v="Thank you for participating at Advanced Therapies Europe"/>
        <s v="What's been happening in the world of advanced therapies?"/>
        <s v="Big Things Come in Small Packages - Don't Miss Out 🧬"/>
        <s v="[INSIDE] A proven method of increasing brand awareness"/>
        <s v="Can you share your expertise {{Recipient.FirstName}}?"/>
        <s v="📢 Less than 2 weeks to go! Discover the unique opportunities associated with using nanoplasmids over traditional plasmids"/>
        <s v="You'll want to take a look at this"/>
        <s v="The speaker list has landed"/>
        <s v="WELCOME EXHIBITOR | Advanced Therapies Europe, January 17th – 20th 2024, "/>
        <s v="Looking back"/>
        <s v="Join the open discussion with nanoplasmid inventor Jim Williams"/>
        <s v="Do you want to learn from these experts {{Recipient.FirstName}}?"/>
        <s v="Small but mighty: Don't miss today's webinar discussion on the power of plasmids"/>
        <s v="What an amazing webinar that was..."/>
        <s v="Did you forget something {{Recipient.FirstName}}?"/>
        <s v="ACCOMMODATION | Advanced Therapies Europe, January 17th – 20th 2024, "/>
        <s v="Oops! You haven't completed your booking"/>
        <s v="You have a credit voucher to use {{Recipient.FirstName}}"/>
        <s v="{{Recipient.FirstName}} it’s time for you to secure your FREE place at Advanced Therapies Europe!"/>
        <s v="Tales From the Cell and Gene Trenches: lessons from industry leaders on how to ensure quality, improve patient access, and reduce the cost of manufacturing."/>
        <s v="The agenda has been released"/>
        <s v="Have you seen the latest FDA annoucement?"/>
        <s v="Have you seen this?"/>
        <s v="Discover how to avoid the common mistakes therapy developers make when manufacturing cell and gene therapies"/>
        <s v="Imagine a world where you have too many leads, and not enough staff"/>
        <s v="Heads up {{Recipient.FirstName}}"/>
        <s v="Hot off the press"/>
        <s v="Have you seen this {{Recipient.FirstName}}"/>
        <s v="Discover how to bring your product from the bench to patients worldwide in our next webinar"/>
        <s v="You can’t blame us for showing this off"/>
        <s v="You have forgotten something {{Recipient.FirstName}}"/>
        <s v="Let's celebrate 10 years of CAR-T"/>
        <s v="Our 2024 Finalists"/>
        <s v="It's time to cast a light on where early stage biotechs go wrong..."/>
        <s v="What would you do with an extra $300?"/>
        <s v="Something to add to your to-do list ✔️"/>
        <s v="Meet your host"/>
        <s v="In case you missed it... we've got a Thanksgiving treat waiting for you."/>
        <s v="The agenda is live"/>
        <s v="FDA Releases Guidelines for Multiple Version Cell and Gene Therapy Early-Phase Trials"/>
        <s v="Everyone makes mistakes"/>
        <s v="PIPE &amp; DRAPE EXHIBITORS | Advanced Therapies Europe, January 17th – 20th 2024, "/>
        <s v="RAW SPACE EXHIBITOR | Advanced Therapies Europe, January 17th – 20th 2024, "/>
        <s v="EXHIBITOR | Advanced Therapies Europe, January 17th – 20th 2024, "/>
        <s v="Will you be joining us?"/>
        <s v="Prices increase on Friday!"/>
        <s v="Enjoy the Barcelona views in style"/>
        <s v="Early Bird sale ends Friday!"/>
        <s v="Use it before it's gone"/>
        <s v="Your last chance to grab a discount"/>
        <s v="Last call for exhibition booths - 11 remaining"/>
        <s v="Download the sample attendee list"/>
        <s v="🚨 FDA has approved the most expensive gene therapy to date!"/>
        <s v="Bring a colleague or friend to Barcelona"/>
        <s v="Are you planning on joining us {{Recipient.FirstName}}?"/>
        <s v="Please complete your booking"/>
        <s v="Complimentary access to Advanced Therapies Europe"/>
        <s v="Are you ready to build a CAR-T cell therapy?"/>
        <s v="Advanced Therapies Europe 2024 | Merry Christmas"/>
        <s v="Will you be celebrating with us?"/>
        <s v="One word... Biotech"/>
        <s v="Learn something new this January"/>
        <s v="Wishing you an amazing seasonal holiday - This is our last cell and gene newsletter for the year!"/>
        <s v="The only place to be next month"/>
        <s v="Upgrade your knowledge"/>
        <s v="Will you be joining us to celebrate your peers?"/>
      </sharedItems>
    </cacheField>
    <cacheField name="Sent On" numFmtId="14">
      <sharedItems containsSemiMixedTypes="0" containsNonDate="0" containsDate="1" containsString="0" minDate="2024-01-05T15:00:00" maxDate="2024-12-30T15:46:00" count="207">
        <d v="2024-01-05T15:00:00"/>
        <d v="2024-01-10T15:08:00"/>
        <d v="2024-01-11T11:59:41"/>
        <d v="2024-01-11T16:25:42"/>
        <d v="2024-01-13T15:15:00"/>
        <d v="2024-01-14T14:30:00"/>
        <d v="2024-01-14T16:00:00"/>
        <d v="2024-01-17T16:10:00"/>
        <d v="2024-01-17T16:30:00"/>
        <d v="2024-01-18T14:30:00"/>
        <d v="2024-01-18T21:10:00"/>
        <d v="2024-01-19T09:38:49"/>
        <d v="2024-01-19T20:11:00"/>
        <d v="2024-01-20T18:00:00"/>
        <d v="2024-01-24T21:17:45"/>
        <d v="2024-01-25T16:25:00"/>
        <d v="2024-01-25T19:00:00"/>
        <d v="2024-01-26T16:05:00"/>
        <d v="2024-01-27T15:00:00"/>
        <d v="2024-02-03T21:00:00"/>
        <d v="2024-02-10T16:20:00"/>
        <d v="2024-02-17T15:18:00"/>
        <d v="2024-02-17T16:30:00"/>
        <d v="2024-02-17T18:19:49"/>
        <d v="2024-03-03T18:30:00"/>
        <d v="2024-03-10T18:00:00"/>
        <d v="2024-03-14T16:00:00"/>
        <d v="2024-03-17T17:00:00"/>
        <d v="2024-03-28T16:00:00"/>
        <d v="2024-03-30T16:00:00"/>
        <d v="2024-03-31T16:00:00"/>
        <d v="2024-04-08T15:30:00"/>
        <d v="2024-04-14T16:25:00"/>
        <d v="2024-04-20T14:30:00"/>
        <d v="2024-04-20T16:31:50"/>
        <d v="2024-04-21T18:04:00"/>
        <d v="2024-04-25T15:00:00"/>
        <d v="2024-05-04T16:00:00"/>
        <d v="2024-05-05T16:10:00"/>
        <d v="2024-05-09T14:00:00"/>
        <d v="2024-05-11T12:30:00"/>
        <d v="2024-05-11T15:30:44"/>
        <d v="2024-05-12T15:51:00"/>
        <d v="2024-05-16T15:50:00"/>
        <d v="2024-05-18T16:00:00"/>
        <d v="2024-05-19T13:30:00"/>
        <d v="2024-05-19T14:31:28"/>
        <d v="2024-05-19T16:00:00"/>
        <d v="2024-05-23T14:00:00"/>
        <d v="2024-05-24T15:00:00"/>
        <d v="2024-05-26T16:00:00"/>
        <d v="2024-05-27T13:18:00"/>
        <d v="2024-05-30T16:04:00"/>
        <d v="2024-06-06T16:32:56"/>
        <d v="2024-06-07T12:30:00"/>
        <d v="2024-06-09T14:15:00"/>
        <d v="2024-06-10T12:45:33"/>
        <d v="2024-06-13T16:15:00"/>
        <d v="2024-06-14T12:00:00"/>
        <d v="2024-06-14T14:00:00"/>
        <d v="2024-06-14T14:00:38"/>
        <d v="2024-06-14T16:00:34"/>
        <d v="2024-06-16T14:00:07"/>
        <d v="2024-06-16T14:29:00"/>
        <d v="2024-06-20T16:00:00"/>
        <d v="2024-06-22T15:05:00"/>
        <d v="2024-06-23T17:31:55"/>
        <d v="2024-06-27T14:00:00"/>
        <d v="2024-06-29T11:05:00"/>
        <d v="2024-06-29T13:05:06"/>
        <d v="2024-06-29T15:20:00"/>
        <d v="2024-06-30T18:04:00"/>
        <d v="2024-07-06T08:50:00"/>
        <d v="2024-07-06T12:51:10"/>
        <d v="2024-07-06T19:43:00"/>
        <d v="2024-07-07T15:33:54"/>
        <d v="2024-07-08T16:18:00"/>
        <d v="2024-07-11T16:23:52"/>
        <d v="2024-07-11T16:23:53"/>
        <d v="2024-07-11T16:40:41"/>
        <d v="2024-07-12T14:25:00"/>
        <d v="2024-07-13T16:26:13"/>
        <d v="2024-07-13T20:33:00"/>
        <d v="2024-07-18T16:05:00"/>
        <d v="2024-07-19T08:40:00"/>
        <d v="2024-07-19T08:57:00"/>
        <d v="2024-07-19T08:59:00"/>
        <d v="2024-07-19T12:58:01"/>
        <d v="2024-07-21T16:31:48"/>
        <d v="2024-07-25T16:15:00"/>
        <d v="2024-07-26T08:30:00"/>
        <d v="2024-07-27T08:40:00"/>
        <d v="2024-07-27T10:00:00"/>
        <d v="2024-07-28T15:00:00"/>
        <d v="2024-08-02T12:26:00"/>
        <d v="2024-08-02T16:13:20"/>
        <d v="2024-08-03T12:16:00"/>
        <d v="2024-08-04T17:40:00"/>
        <d v="2024-08-05T08:15:00"/>
        <d v="2024-08-09T12:40:00"/>
        <d v="2024-08-09T15:41:37"/>
        <d v="2024-08-10T10:28:00"/>
        <d v="2024-08-11T18:25:00"/>
        <d v="2024-08-12T10:32:00"/>
        <d v="2024-08-12T14:00:00"/>
        <d v="2024-08-12T15:32:17"/>
        <d v="2024-08-16T10:25:00"/>
        <d v="2024-08-16T12:40:00"/>
        <d v="2024-08-16T14:25:25"/>
        <d v="2024-08-17T12:00:00"/>
        <d v="2024-08-18T16:17:04"/>
        <d v="2024-08-18T16:17:05"/>
        <d v="2024-08-19T12:30:00"/>
        <d v="2024-08-19T15:30:00"/>
        <d v="2024-08-19T16:00:00"/>
        <d v="2024-08-20T16:18:30"/>
        <d v="2024-08-22T16:38:15"/>
        <d v="2024-08-23T09:00:00"/>
        <d v="2024-08-23T13:01:15"/>
        <d v="2024-08-23T16:19:07"/>
        <d v="2024-08-23T16:38:45"/>
        <d v="2024-08-24T08:30:00"/>
        <d v="2024-08-24T12:30:29"/>
        <d v="2024-08-25T09:00:00"/>
        <d v="2024-08-25T16:24:35"/>
        <d v="2024-08-26T09:15:00"/>
        <d v="2024-08-26T15:25:00"/>
        <d v="2024-08-30T09:30:00"/>
        <d v="2024-09-07T15:05:00"/>
        <d v="2024-09-07T16:30:00"/>
        <d v="2024-09-07T19:05:45"/>
        <d v="2024-09-08T17:45:02"/>
        <d v="2024-09-08T18:06:13"/>
        <d v="2024-09-14T14:30:00"/>
        <d v="2024-09-14T14:47:00"/>
        <d v="2024-09-15T16:05:00"/>
        <d v="2024-09-20T16:15:00"/>
        <d v="2024-09-21T12:30:00"/>
        <d v="2024-09-21T16:31:31"/>
        <d v="2024-09-26T16:00:00"/>
        <d v="2024-09-26T16:05:00"/>
        <d v="2024-09-28T14:30:00"/>
        <d v="2024-09-28T16:30:31"/>
        <d v="2024-09-29T10:03:42"/>
        <d v="2024-09-30T14:05:00"/>
        <d v="2024-10-03T16:09:00"/>
        <d v="2024-10-05T15:00:00"/>
        <d v="2024-10-06T15:15:00"/>
        <d v="2024-10-10T17:45:00"/>
        <d v="2024-10-10T18:00:00"/>
        <d v="2024-10-14T09:35:15"/>
        <d v="2024-10-17T16:16:00"/>
        <d v="2024-10-18T16:15:00"/>
        <d v="2024-10-18T17:00:00"/>
        <d v="2024-10-19T17:00:00"/>
        <d v="2024-10-24T16:10:00"/>
        <d v="2024-10-24T17:00:00"/>
        <d v="2024-10-24T17:05:00"/>
        <d v="2024-10-27T16:12:18"/>
        <d v="2024-10-27T17:30:00"/>
        <d v="2024-10-31T16:13:00"/>
        <d v="2024-11-01T15:00:00"/>
        <d v="2024-11-01T18:01:09"/>
        <d v="2024-11-02T16:15:00"/>
        <d v="2024-11-02T16:45:00"/>
        <d v="2024-11-03T17:45:00"/>
        <d v="2024-11-04T15:31:00"/>
        <d v="2024-11-07T18:09:00"/>
        <d v="2024-11-08T17:50:00"/>
        <d v="2024-11-09T17:30:00"/>
        <d v="2024-11-10T16:05:00"/>
        <d v="2024-11-11T16:32:00"/>
        <d v="2024-11-14T16:00:00"/>
        <d v="2024-11-15T16:02:42"/>
        <d v="2024-11-15T16:30:00"/>
        <d v="2024-11-16T16:36:32"/>
        <d v="2024-11-21T17:05:00"/>
        <d v="2024-11-22T18:25:00"/>
        <d v="2024-11-23T16:30:00"/>
        <d v="2024-11-23T17:00:00"/>
        <d v="2024-11-23T17:30:00"/>
        <d v="2024-11-24T12:15:55"/>
        <d v="2024-11-24T12:23:03"/>
        <d v="2024-11-24T12:26:06"/>
        <d v="2024-11-25T17:04:00"/>
        <d v="2024-11-29T17:00:00"/>
        <d v="2024-11-30T16:30:00"/>
        <d v="2024-11-30T16:45:00"/>
        <d v="2024-12-01T15:46:00"/>
        <d v="2024-12-01T16:30:00"/>
        <d v="2024-12-01T18:32:04"/>
        <d v="2024-12-05T17:37:51"/>
        <d v="2024-12-07T17:00:00"/>
        <d v="2024-12-08T17:08:32"/>
        <d v="2024-12-12T16:50:00"/>
        <d v="2024-12-14T17:00:00"/>
        <d v="2024-12-14T17:15:00"/>
        <d v="2024-12-16T16:45:00"/>
        <d v="2024-12-19T16:15:00"/>
        <d v="2024-12-19T16:53:25"/>
        <d v="2024-12-19T18:29:00"/>
        <d v="2024-12-20T04:45:00"/>
        <d v="2024-12-20T17:00:00"/>
        <d v="2024-12-22T16:07:00"/>
        <d v="2024-12-26T17:01:00"/>
        <d v="2024-12-28T17:03:00"/>
        <d v="2024-12-30T15:46:00"/>
      </sharedItems>
      <fieldGroup par="26"/>
    </cacheField>
    <cacheField name="Time sent" numFmtId="164">
      <sharedItems count="122">
        <s v="15:00"/>
        <s v="15:08"/>
        <s v="11:59"/>
        <s v="16:25"/>
        <s v="15:15"/>
        <s v="14:30"/>
        <s v="16:00"/>
        <s v="16:10"/>
        <s v="16:30"/>
        <s v="21:10"/>
        <s v="09:38"/>
        <s v="20:11"/>
        <s v="18:00"/>
        <s v="21:17"/>
        <s v="19:00"/>
        <s v="16:05"/>
        <s v="21:00"/>
        <s v="16:20"/>
        <s v="15:18"/>
        <s v="18:19"/>
        <s v="18:30"/>
        <s v="17:00"/>
        <s v="15:25"/>
        <s v="13:30"/>
        <s v="15:31"/>
        <s v="17:04"/>
        <s v="14:00"/>
        <s v="15:10"/>
        <s v="13:00"/>
        <s v="11:30"/>
        <s v="14:51"/>
        <s v="14:50"/>
        <s v="12:30"/>
        <s v="13:31"/>
        <s v="12:18"/>
        <s v="15:04"/>
        <s v="15:32"/>
        <s v="13:15"/>
        <s v="11:45"/>
        <s v="11:00"/>
        <s v="13:29"/>
        <s v="14:05"/>
        <s v="16:31"/>
        <s v="10:05"/>
        <s v="12:05"/>
        <s v="14:20"/>
        <s v="07:50"/>
        <s v="11:51"/>
        <s v="18:43"/>
        <s v="14:33"/>
        <s v="15:23"/>
        <s v="15:40"/>
        <s v="13:25"/>
        <s v="15:26"/>
        <s v="19:33"/>
        <s v="15:05"/>
        <s v="07:40"/>
        <s v="07:57"/>
        <s v="07:59"/>
        <s v="11:58"/>
        <s v="07:30"/>
        <s v="09:00"/>
        <s v="11:26"/>
        <s v="15:13"/>
        <s v="11:16"/>
        <s v="16:40"/>
        <s v="07:15"/>
        <s v="11:40"/>
        <s v="14:41"/>
        <s v="09:28"/>
        <s v="17:25"/>
        <s v="09:32"/>
        <s v="14:32"/>
        <s v="09:25"/>
        <s v="15:17"/>
        <s v="15:38"/>
        <s v="08:00"/>
        <s v="12:01"/>
        <s v="15:19"/>
        <s v="15:24"/>
        <s v="08:15"/>
        <s v="14:25"/>
        <s v="08:30"/>
        <s v="15:30"/>
        <s v="18:05"/>
        <s v="16:45"/>
        <s v="17:06"/>
        <s v="13:47"/>
        <s v="09:03"/>
        <s v="13:05"/>
        <s v="15:09"/>
        <s v="14:15"/>
        <s v="08:35"/>
        <s v="15:16"/>
        <s v="15:12"/>
        <s v="16:13"/>
        <s v="18:01"/>
        <s v="16:15"/>
        <s v="17:45"/>
        <s v="18:09"/>
        <s v="17:50"/>
        <s v="17:30"/>
        <s v="16:32"/>
        <s v="16:02"/>
        <s v="16:36"/>
        <s v="17:05"/>
        <s v="18:25"/>
        <s v="12:15"/>
        <s v="12:23"/>
        <s v="12:26"/>
        <s v="15:46"/>
        <s v="18:32"/>
        <s v="17:37"/>
        <s v="17:08"/>
        <s v="16:50"/>
        <s v="17:15"/>
        <s v="16:53"/>
        <s v="18:29"/>
        <s v="04:45"/>
        <s v="16:07"/>
        <s v="17:01"/>
        <s v="17:03"/>
      </sharedItems>
    </cacheField>
    <cacheField name="Sent" numFmtId="1">
      <sharedItems containsSemiMixedTypes="0" containsString="0" containsNumber="1" containsInteger="1" minValue="3" maxValue="10791" count="206">
        <n v="845"/>
        <n v="570"/>
        <n v="138"/>
        <n v="37"/>
        <n v="7555"/>
        <n v="791"/>
        <n v="381"/>
        <n v="661"/>
        <n v="429"/>
        <n v="31"/>
        <n v="53"/>
        <n v="143"/>
        <n v="10"/>
        <n v="148"/>
        <n v="846"/>
        <n v="1023"/>
        <n v="91"/>
        <n v="168"/>
        <n v="57"/>
        <n v="450"/>
        <n v="903"/>
        <n v="72"/>
        <n v="7740"/>
        <n v="431"/>
        <n v="7653"/>
        <n v="617"/>
        <n v="4063"/>
        <n v="7639"/>
        <n v="619"/>
        <n v="4003"/>
        <n v="7614"/>
        <n v="615"/>
        <n v="7607"/>
        <n v="492"/>
        <n v="2951"/>
        <n v="611"/>
        <n v="9"/>
        <n v="2853"/>
        <n v="621"/>
        <n v="1855"/>
        <n v="16"/>
        <n v="17"/>
        <n v="97"/>
        <n v="7656"/>
        <n v="886"/>
        <n v="2754"/>
        <n v="50"/>
        <n v="51"/>
        <n v="566"/>
        <n v="1174"/>
        <n v="161"/>
        <n v="1199"/>
        <n v="1162"/>
        <n v="7609"/>
        <n v="867"/>
        <n v="896"/>
        <n v="3853"/>
        <n v="7597"/>
        <n v="28"/>
        <n v="873"/>
        <n v="149"/>
        <n v="144"/>
        <n v="889"/>
        <n v="859"/>
        <n v="688"/>
        <n v="779"/>
        <n v="3790"/>
        <n v="9138"/>
        <n v="9624"/>
        <n v="468"/>
        <n v="469"/>
        <n v="2811"/>
        <n v="3"/>
        <n v="731"/>
        <n v="461"/>
        <n v="462"/>
        <n v="2768"/>
        <n v="10547"/>
        <n v="9030"/>
        <n v="4144"/>
        <n v="216"/>
        <n v="2136"/>
        <n v="3294"/>
        <n v="430"/>
        <n v="10399"/>
        <n v="855"/>
        <n v="7"/>
        <n v="534"/>
        <n v="9025"/>
        <n v="870"/>
        <n v="3461"/>
        <n v="529"/>
        <n v="244"/>
        <n v="866"/>
        <n v="3447"/>
        <n v="243"/>
        <n v="9785"/>
        <n v="734"/>
        <n v="767"/>
        <n v="4601"/>
        <n v="740"/>
        <n v="728"/>
        <n v="10245"/>
        <n v="518"/>
        <n v="519"/>
        <n v="296"/>
        <n v="5061"/>
        <n v="665"/>
        <n v="2465"/>
        <n v="2464"/>
        <n v="773"/>
        <n v="1736"/>
        <n v="8412"/>
        <n v="4933"/>
        <n v="554"/>
        <n v="555"/>
        <n v="29"/>
        <n v="173"/>
        <n v="52"/>
        <n v="1109"/>
        <n v="513"/>
        <n v="514"/>
        <n v="5013"/>
        <n v="103"/>
        <n v="746"/>
        <n v="154"/>
        <n v="10067"/>
        <n v="393"/>
        <n v="847"/>
        <n v="6777"/>
        <n v="774"/>
        <n v="9553"/>
        <n v="226"/>
        <n v="140"/>
        <n v="9885"/>
        <n v="1134"/>
        <n v="15"/>
        <n v="93"/>
        <n v="980"/>
        <n v="1267"/>
        <n v="1268"/>
        <n v="7603"/>
        <n v="130"/>
        <n v="795"/>
        <n v="1114"/>
        <n v="7682"/>
        <n v="9868"/>
        <n v="2231"/>
        <n v="27"/>
        <n v="132"/>
        <n v="87"/>
        <n v="49"/>
        <n v="5"/>
        <n v="3866"/>
        <n v="1092"/>
        <n v="101"/>
        <n v="9612"/>
        <n v="9977"/>
        <n v="974"/>
        <n v="1103"/>
        <n v="455"/>
        <n v="3046"/>
        <n v="115"/>
        <n v="6770"/>
        <n v="828"/>
        <n v="3763"/>
        <n v="6504"/>
        <n v="6757"/>
        <n v="157"/>
        <n v="10150"/>
        <n v="10458"/>
        <n v="6419"/>
        <n v="6721"/>
        <n v="100"/>
        <n v="6254"/>
        <n v="6709"/>
        <n v="6671"/>
        <n v="10174"/>
        <n v="84"/>
        <n v="417"/>
        <n v="75"/>
        <n v="30"/>
        <n v="687"/>
        <n v="6599"/>
        <n v="315"/>
        <n v="127"/>
        <n v="861"/>
        <n v="643"/>
        <n v="644"/>
        <n v="3858"/>
        <n v="4295"/>
        <n v="6359"/>
        <n v="10363"/>
        <n v="69"/>
        <n v="6495"/>
        <n v="230"/>
        <n v="6"/>
        <n v="2255"/>
        <n v="151"/>
        <n v="640"/>
        <n v="5535"/>
        <n v="203"/>
        <n v="10791"/>
        <n v="1027"/>
        <n v="5477"/>
        <n v="5204"/>
      </sharedItems>
    </cacheField>
    <cacheField name="Bounces" numFmtId="1">
      <sharedItems containsSemiMixedTypes="0" containsString="0" containsNumber="1" containsInteger="1" minValue="0" maxValue="108"/>
    </cacheField>
    <cacheField name="Soft Bounces" numFmtId="1">
      <sharedItems containsSemiMixedTypes="0" containsString="0" containsNumber="1" containsInteger="1" minValue="0" maxValue="30"/>
    </cacheField>
    <cacheField name="Hard Bounces" numFmtId="1">
      <sharedItems containsSemiMixedTypes="0" containsString="0" containsNumber="1" containsInteger="1" minValue="0" maxValue="89"/>
    </cacheField>
    <cacheField name="Delivered" numFmtId="1">
      <sharedItems containsSemiMixedTypes="0" containsString="0" containsNumber="1" containsInteger="1" minValue="3" maxValue="10759"/>
    </cacheField>
    <cacheField name="Total Opens" numFmtId="1">
      <sharedItems containsSemiMixedTypes="0" containsString="0" containsNumber="1" containsInteger="1" minValue="1" maxValue="4524"/>
    </cacheField>
    <cacheField name="Unique Opens" numFmtId="1">
      <sharedItems containsSemiMixedTypes="0" containsString="0" containsNumber="1" containsInteger="1" minValue="1" maxValue="2964"/>
    </cacheField>
    <cacheField name="Total Clicks" numFmtId="1">
      <sharedItems containsSemiMixedTypes="0" containsString="0" containsNumber="1" containsInteger="1" minValue="0" maxValue="34195"/>
    </cacheField>
    <cacheField name="Unique Clicks" numFmtId="1">
      <sharedItems containsSemiMixedTypes="0" containsString="0" containsNumber="1" containsInteger="1" minValue="0" maxValue="1878"/>
    </cacheField>
    <cacheField name="Opt Outs" numFmtId="1">
      <sharedItems containsSemiMixedTypes="0" containsString="0" containsNumber="1" containsInteger="1" minValue="0" maxValue="30"/>
    </cacheField>
    <cacheField name="Conversions (visited product page)" numFmtId="1">
      <sharedItems containsSemiMixedTypes="0" containsString="0" containsNumber="1" containsInteger="1" minValue="0" maxValue="7865"/>
    </cacheField>
    <cacheField name="Open rate" numFmtId="2">
      <sharedItems containsSemiMixedTypes="0" containsString="0" containsNumber="1" minValue="9.8068350668647844E-2" maxValue="0.93333333333333335"/>
    </cacheField>
    <cacheField name="Conversion rate" numFmtId="2">
      <sharedItems containsSemiMixedTypes="0" containsString="0" containsNumber="1" minValue="0" maxValue="0.94701986754966883"/>
    </cacheField>
    <cacheField name="Conversion rate Max" numFmtId="2">
      <sharedItems containsMixedTypes="1" containsNumber="1" minValue="0.94701986754966883" maxValue="0.94701986754966883"/>
    </cacheField>
    <cacheField name="Conversion rate Min" numFmtId="2">
      <sharedItems containsMixedTypes="1" containsNumber="1" minValue="1.9607843137254902E-2" maxValue="1.9607843137254902E-2"/>
    </cacheField>
    <cacheField name="Unsubscribe rate" numFmtId="2">
      <sharedItems containsSemiMixedTypes="0" containsString="0" containsNumber="1" minValue="0" maxValue="1.9607843137254902E-2"/>
    </cacheField>
    <cacheField name="Click-to-open rate" numFmtId="2">
      <sharedItems containsSemiMixedTypes="0" containsString="0" containsNumber="1" minValue="0" maxValue="0.79661016949152541"/>
    </cacheField>
    <cacheField name="Email bounce rate" numFmtId="2">
      <sharedItems containsSemiMixedTypes="0" containsString="0" containsNumber="1" minValue="0" maxValue="0.4"/>
    </cacheField>
    <cacheField name="CTR" numFmtId="2">
      <sharedItems containsSemiMixedTypes="0" containsString="0" containsNumber="1" minValue="0" maxValue="0.64383561643835618"/>
    </cacheField>
    <cacheField name="Delivery rate" numFmtId="2">
      <sharedItems containsSemiMixedTypes="0" containsString="0" containsNumber="1" minValue="0.6" maxValue="1"/>
    </cacheField>
    <cacheField name="Days (Sent On)" numFmtId="0" databaseField="0">
      <fieldGroup base="3">
        <rangePr groupBy="days" startDate="2024-01-05T15:00:00" endDate="2024-12-30T15:46:00"/>
        <groupItems count="368">
          <s v="&lt;05/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4"/>
        </groupItems>
      </fieldGroup>
    </cacheField>
    <cacheField name="Months (Sent On)" numFmtId="0" databaseField="0">
      <fieldGroup base="3">
        <rangePr groupBy="months" startDate="2024-01-05T15:00:00" endDate="2024-12-30T15:46:00"/>
        <groupItems count="14">
          <s v="&lt;05/01/2024"/>
          <s v="Jan"/>
          <s v="Feb"/>
          <s v="Mar"/>
          <s v="Apr"/>
          <s v="May"/>
          <s v="Jun"/>
          <s v="Jul"/>
          <s v="Aug"/>
          <s v="Sep"/>
          <s v="Oct"/>
          <s v="Nov"/>
          <s v="Dec"/>
          <s v="&gt;30/12/2024"/>
        </groupItems>
      </fieldGroup>
    </cacheField>
  </cacheFields>
  <extLst>
    <ext xmlns:x14="http://schemas.microsoft.com/office/spreadsheetml/2009/9/main" uri="{725AE2AE-9491-48be-B2B4-4EB974FC3084}">
      <x14:pivotCacheDefinition pivotCacheId="9842047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43.032951273148" createdVersion="6" refreshedVersion="6" minRefreshableVersion="3" recordCount="888" xr:uid="{2E5B15CD-DB4C-8848-9582-5376057F25DB}">
  <cacheSource type="worksheet">
    <worksheetSource name="Table2"/>
  </cacheSource>
  <cacheFields count="14">
    <cacheField name="ID" numFmtId="0">
      <sharedItems containsSemiMixedTypes="0" containsString="0" containsNumber="1" containsInteger="1" minValue="1" maxValue="888"/>
    </cacheField>
    <cacheField name="Contact ID" numFmtId="0">
      <sharedItems containsSemiMixedTypes="0" containsString="0" containsNumber="1" containsInteger="1" minValue="136264545" maxValue="171898183"/>
    </cacheField>
    <cacheField name="Job Title" numFmtId="0">
      <sharedItems containsBlank="1"/>
    </cacheField>
    <cacheField name="Seniority" numFmtId="0">
      <sharedItems containsBlank="1" count="82">
        <s v="Manager"/>
        <s v="C-suite"/>
        <s v="Director"/>
        <s v="Vice President"/>
        <s v="Other"/>
        <s v="Head of Department"/>
        <s v="Not mentioned"/>
        <s v="Senior"/>
        <s v="Associate"/>
        <s v="Principal"/>
        <s v="Founder"/>
        <s v="Executive"/>
        <m u="1"/>
        <s v="Global SME" u="1"/>
        <s v="Regulatory Affairs" u="1"/>
        <s v="Tradeshow &amp; Event Specialist" u="1"/>
        <s v="CTT Global Technology Leader " u="1"/>
        <s v="FDI &amp; Trade Associate" u="1"/>
        <s v="Logistics Coordinator " u="1"/>
        <s v="Global Subject Matter Expert" u="1"/>
        <s v="Not Mention" u="1"/>
        <s v="Manufacturing Document Specialist" u="1"/>
        <s v="Scientific" u="1"/>
        <s v="Personal knowledge management Sales" u="1"/>
        <s v="Partner" u="1"/>
        <s v="Managing Partner" u="1"/>
        <s v="Vertex Pharmaceuticals, Inc" u="1"/>
        <s v="Investor " u="1"/>
        <s v="Research Analyst" u="1"/>
        <s v="Shareholder" u="1"/>
        <s v="CGT specialist" u="1"/>
        <s v="Technical Operations" u="1"/>
        <s v="Global Market Development Specialist " u="1"/>
        <s v="Applications Specialist" u="1"/>
        <s v="Field Application Scientist " u="1"/>
        <s v="Product Planner" u="1"/>
        <s v="Application Scientist" u="1"/>
        <s v="R&amp;D" u="1"/>
        <s v="Qualified Person" u="1"/>
        <s v="Master Practice Expert" u="1"/>
        <s v="Marketing Coordinator" u="1"/>
        <s v="Sales" u="1"/>
        <s v="Professor" u="1"/>
        <s v="Strategic Sourcing &amp; Procurement" u="1"/>
        <s v="Process Development Engineering Principal Scientific Associate " u="1"/>
        <s v="Consultant" u="1"/>
        <s v="Practice Expert" u="1"/>
        <s v="Biotech Specialist " u="1"/>
        <s v="Marketing Specialist" u="1"/>
        <s v="Program Manger" u="1"/>
        <s v="PM/Research" u="1"/>
        <s v="ZipChip Field Sales Representative Sales, Life Sciences" u="1"/>
        <s v="Commercial Development" u="1"/>
        <s v="Global Commercial Lead" u="1"/>
        <s v="Business Developer" u="1"/>
        <s v="Marketing Communications Specialist" u="1"/>
        <s v="Field Application Scientist" u="1"/>
        <s v="Business development" u="1"/>
        <s v="REBEL Field Application Scientist" u="1"/>
        <s v="Board Member" u="1"/>
        <s v="Study Coordinator " u="1"/>
        <s v="Practice Lead" u="1"/>
        <s v="Process Engineer" u="1"/>
        <s v="Corporate Communications" u="1"/>
        <s v="Commercial Leader" u="1"/>
        <s v="Systems Engineer " u="1"/>
        <s v="Representative" u="1"/>
        <s v="Specialist Leader" u="1"/>
        <s v="Biotech Specialist" u="1"/>
        <s v="Product Manger" u="1"/>
        <s v="Strategic Technical Specialist" u="1"/>
        <s v="Co-founder" u="1"/>
        <s v="Maniufacturing &amp; Supply Chain Consultant" u="1"/>
        <s v="Strategic Planning Administrator" u="1"/>
        <s v="Patient Supply Operations" u="1"/>
        <s v="Strategic Sourcing" u="1"/>
        <s v="Business Consultant" u="1"/>
        <s v="Assistant Professor" u="1"/>
        <s v="Student" u="1"/>
        <s v="Procurement" u="1"/>
        <s v="Research Fellow" u="1"/>
        <s v="Medical Business" u="1"/>
      </sharedItems>
    </cacheField>
    <cacheField name="Company" numFmtId="0">
      <sharedItems containsBlank="1"/>
    </cacheField>
    <cacheField name="Company Type" numFmtId="0">
      <sharedItems containsBlank="1" count="14">
        <s v="Vendor"/>
        <s v="Investor"/>
        <s v="Not mentioned"/>
        <s v="Academic/Hospitals "/>
        <s v="Biotechnology"/>
        <s v="Associations"/>
        <s v="Standards Bodies"/>
        <s v="Pharmaceutical"/>
        <s v="Media businesses"/>
        <s v="Regulator/Payers"/>
        <s v="Charities"/>
        <s v="Patient Advocacy"/>
        <m u="1"/>
        <s v="Not Mention" u="1"/>
      </sharedItems>
    </cacheField>
    <cacheField name="Country" numFmtId="0">
      <sharedItems containsBlank="1" count="18">
        <s v="Belgium"/>
        <s v="United Kingdom"/>
        <s v="Canada"/>
        <s v="Italy"/>
        <s v="Denmark"/>
        <s v="Germany"/>
        <s v="India"/>
        <s v="Ireland"/>
        <s v="Israel"/>
        <s v="France"/>
        <m/>
        <s v="Norway"/>
        <s v="Spain"/>
        <s v="Sweden"/>
        <s v="Switzerland"/>
        <s v="Netherlands"/>
        <s v="Portugal"/>
        <s v="USA"/>
      </sharedItems>
    </cacheField>
    <cacheField name="Region" numFmtId="0">
      <sharedItems containsBlank="1" count="4">
        <s v="EMEA"/>
        <s v="NA"/>
        <s v="APAC"/>
        <m/>
      </sharedItems>
    </cacheField>
    <cacheField name="Created date" numFmtId="14">
      <sharedItems containsSemiMixedTypes="0" containsNonDate="0" containsDate="1" containsString="0" minDate="2017-01-03T00:00:00" maxDate="2022-12-14T12:35:12" count="841">
        <d v="2017-01-03T00:00:00"/>
        <d v="2017-01-04T00:00:00"/>
        <d v="2017-01-05T00:00:00"/>
        <d v="2017-01-07T00:00:00"/>
        <d v="2017-01-08T00:00:00"/>
        <d v="2017-01-09T00:00:00"/>
        <d v="2017-01-10T00:00:00"/>
        <d v="2017-01-11T00:00:00"/>
        <d v="2017-01-12T00:00:00"/>
        <d v="2017-01-13T00:00:00"/>
        <d v="2017-01-14T00:00:00"/>
        <d v="2017-01-16T00:00:00"/>
        <d v="2017-01-18T00:00:00"/>
        <d v="2017-05-19T00:00:00"/>
        <d v="2017-05-20T00:00:00"/>
        <d v="2017-05-21T00:00:00"/>
        <d v="2017-05-22T00:00:00"/>
        <d v="2017-05-23T00:00:00"/>
        <d v="2017-05-24T00:00:00"/>
        <d v="2017-09-28T00:00:00"/>
        <d v="2017-09-29T00:00:00"/>
        <d v="2017-09-30T00:00:00"/>
        <d v="2017-10-01T00:00:00"/>
        <d v="2017-10-02T00:00:00"/>
        <d v="2017-10-03T00:00:00"/>
        <d v="2017-10-04T00:00:00"/>
        <d v="2017-10-05T00:00:00"/>
        <d v="2017-10-06T00:00:00"/>
        <d v="2018-05-24T00:00:00"/>
        <d v="2018-05-25T00:00:00"/>
        <d v="2018-05-26T00:00:00"/>
        <d v="2018-05-27T00:00:00"/>
        <d v="2018-05-28T00:00:00"/>
        <d v="2018-05-29T00:00:00"/>
        <d v="2018-05-31T00:00:00"/>
        <d v="2018-06-02T00:00:00"/>
        <d v="2018-06-03T00:00:00"/>
        <d v="2018-06-04T00:00:00"/>
        <d v="2018-06-05T00:00:00"/>
        <d v="2018-06-06T00:00:00"/>
        <d v="2018-06-07T00:00:00"/>
        <d v="2018-06-08T00:00:00"/>
        <d v="2018-06-10T00:00:00"/>
        <d v="2018-06-11T00:00:00"/>
        <d v="2018-06-12T00:00:00"/>
        <d v="2018-06-13T00:00:00"/>
        <d v="2018-06-14T00:00:00"/>
        <d v="2018-11-07T00:00:00"/>
        <d v="2018-11-08T00:00:00"/>
        <d v="2018-11-09T00:00:00"/>
        <d v="2018-11-10T00:00:00"/>
        <d v="2018-11-11T00:00:00"/>
        <d v="2018-11-13T00:00:00"/>
        <d v="2018-11-14T00:00:00"/>
        <d v="2018-11-16T00:00:00"/>
        <d v="2018-11-17T00:00:00"/>
        <d v="2018-11-19T00:00:00"/>
        <d v="2018-11-20T00:00:00"/>
        <d v="2018-11-21T00:00:00"/>
        <d v="2018-11-22T00:00:00"/>
        <d v="2018-11-23T00:00:00"/>
        <d v="2019-06-16T00:00:00"/>
        <d v="2019-06-17T00:00:00"/>
        <d v="2019-06-18T00:00:00"/>
        <d v="2019-06-19T00:00:00"/>
        <d v="2019-06-20T00:00:00"/>
        <d v="2019-06-21T00:00:00"/>
        <d v="2019-06-22T00:00:00"/>
        <d v="2019-06-23T00:00:00"/>
        <d v="2019-06-24T00:00:00"/>
        <d v="2019-06-25T00:00:00"/>
        <d v="2019-06-26T00:00:00"/>
        <d v="2019-06-29T00:00:00"/>
        <d v="2019-07-01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7T00:00:00"/>
        <d v="2020-04-28T00:00:00"/>
        <d v="2020-04-29T00:00:00"/>
        <d v="2020-04-30T00:00:00"/>
        <d v="2020-05-01T00:00:00"/>
        <d v="2020-05-02T00:00:00"/>
        <d v="2020-05-03T00:00:00"/>
        <d v="2020-05-04T00:00:00"/>
        <d v="2020-05-05T00:00:00"/>
        <d v="2020-05-0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8T00:00:00"/>
        <d v="2020-06-30T00:00:00"/>
        <d v="2020-07-01T00:00:00"/>
        <d v="2020-07-02T00:00:00"/>
        <d v="2020-07-04T00:00:00"/>
        <d v="2020-07-05T00:00:00"/>
        <d v="2020-07-06T00:00:00"/>
        <d v="2020-07-07T00:00:00"/>
        <d v="2020-07-09T00:00:00"/>
        <d v="2020-07-10T00:00:00"/>
        <d v="2020-07-11T00:00:00"/>
        <d v="2020-07-13T00:00:00"/>
        <d v="2020-07-14T00:00:00"/>
        <d v="2020-07-16T00:00:00"/>
        <d v="2020-07-17T00:00:00"/>
        <d v="2022-09-15T16:40:54"/>
        <d v="2022-09-21T14:28:35"/>
        <d v="2022-09-29T10:20:08"/>
        <d v="2022-09-30T15:38:21"/>
        <d v="2022-10-03T18:57:07"/>
        <d v="2022-10-04T17:55:48"/>
        <d v="2022-10-05T13:03:08"/>
        <d v="2022-10-05T15:18:13"/>
        <d v="2022-10-05T20:41:53"/>
        <d v="2022-10-06T15:39:34"/>
        <d v="2022-10-06T15:59:55"/>
        <d v="2022-10-07T13:07:12"/>
        <d v="2022-10-09T02:24:24"/>
        <d v="2022-10-10T11:31:47"/>
        <d v="2022-10-10T11:37:44"/>
        <d v="2022-10-10T14:03:46"/>
        <d v="2022-10-10T14:54:22"/>
        <d v="2022-10-10T22:54:09"/>
        <d v="2022-10-11T16:16:48"/>
        <d v="2022-10-11T16:56:39"/>
        <d v="2022-10-11T17:43:16"/>
        <d v="2022-10-11T18:24:56"/>
        <d v="2022-10-12T15:59:21"/>
        <d v="2022-10-12T18:31:57"/>
        <d v="2022-10-13T13:44:03"/>
        <d v="2022-10-13T18:02:19"/>
        <d v="2022-10-13T20:36:23"/>
        <d v="2022-10-13T23:28:47"/>
        <d v="2022-10-14T15:41:36"/>
        <d v="2022-10-14T15:58:38"/>
        <d v="2022-10-14T16:57:22"/>
        <d v="2022-10-14T17:56:07"/>
        <d v="2022-10-14T18:19:54"/>
        <d v="2022-10-14T18:22:56"/>
        <d v="2022-10-14T18:33:40"/>
        <d v="2022-10-14T19:44:21"/>
        <d v="2022-10-14T19:47:12"/>
        <d v="2022-10-14T20:41:00"/>
        <d v="2022-10-15T00:53:53"/>
        <d v="2022-10-17T01:40:47"/>
        <d v="2022-10-17T13:44:39"/>
        <d v="2022-10-17T14:26:26"/>
        <d v="2022-10-17T16:38:22"/>
        <d v="2022-10-17T20:47:48"/>
        <d v="2022-10-18T14:56:25"/>
        <d v="2022-10-18T17:47:54"/>
        <d v="2022-10-18T18:55:49"/>
        <d v="2022-10-18T21:44:35"/>
        <d v="2022-10-19T00:30:22"/>
        <d v="2022-10-19T15:04:14"/>
        <d v="2022-10-19T16:34:50"/>
        <d v="2022-10-19T17:57:23"/>
        <d v="2022-10-19T20:48:49"/>
        <d v="2022-10-20T16:15:25"/>
        <d v="2022-10-21T10:09:05"/>
        <d v="2022-10-24T04:38:21"/>
        <d v="2022-10-24T19:29:34"/>
        <d v="2022-10-25T11:53:18"/>
        <d v="2022-10-25T19:13:45"/>
        <d v="2022-10-25T19:46:44"/>
        <d v="2022-10-26T02:44:18"/>
        <d v="2022-10-27T15:57:57"/>
        <d v="2022-10-28T18:50:31"/>
        <d v="2022-10-28T23:01:09"/>
        <d v="2022-10-31T12:47:05"/>
        <d v="2022-10-31T14:24:32"/>
        <d v="2022-10-31T17:51:02"/>
        <d v="2022-10-31T18:42:24"/>
        <d v="2022-11-01T13:32:15"/>
        <d v="2022-11-01T19:35:54"/>
        <d v="2022-11-01T21:46:41"/>
        <d v="2022-11-02T10:17:18"/>
        <d v="2022-11-02T13:59:18"/>
        <d v="2022-11-02T19:00:45"/>
        <d v="2022-11-03T11:48:51"/>
        <d v="2022-11-03T12:29:31"/>
        <d v="2022-11-03T13:36:10"/>
        <d v="2022-11-03T17:18:25"/>
        <d v="2022-11-03T17:22:37"/>
        <d v="2022-11-04T13:55:09"/>
        <d v="2022-11-04T19:58:47"/>
        <d v="2022-11-05T11:55:08"/>
        <d v="2022-11-05T19:50:19"/>
        <d v="2022-11-07T14:00:00"/>
        <d v="2022-11-07T14:28:42"/>
        <d v="2022-11-07T18:22:38"/>
        <d v="2022-11-08T00:49:18"/>
        <d v="2022-11-08T13:10:04"/>
        <d v="2022-11-08T14:37:17"/>
        <d v="2022-11-08T15:44:38"/>
        <d v="2022-11-08T16:00:53"/>
        <d v="2022-11-08T16:08:47"/>
        <d v="2022-11-08T23:34:10"/>
        <d v="2022-11-09T01:56:16"/>
        <d v="2022-11-09T14:31:03"/>
        <d v="2022-11-09T14:38:34"/>
        <d v="2022-11-09T14:57:53"/>
        <d v="2022-11-09T14:59:19"/>
        <d v="2022-11-09T15:00:47"/>
        <d v="2022-11-09T15:30:47"/>
        <d v="2022-11-09T15:32:24"/>
        <d v="2022-11-09T15:43:52"/>
        <d v="2022-11-09T15:54:44"/>
        <d v="2022-11-09T19:22:14"/>
        <d v="2022-11-10T15:15:37"/>
        <d v="2022-11-10T21:20:05"/>
        <d v="2022-11-11T15:46:25"/>
        <d v="2022-11-11T21:58:53"/>
        <d v="2022-11-14T07:46:23"/>
        <d v="2022-11-14T07:50:44"/>
        <d v="2022-11-14T07:54:06"/>
        <d v="2022-11-14T12:12:11"/>
        <d v="2022-11-14T12:28:23"/>
        <d v="2022-11-14T14:34:30"/>
        <d v="2022-11-14T15:00:45"/>
        <d v="2022-11-14T15:38:51"/>
        <d v="2022-11-14T15:39:59"/>
        <d v="2022-11-14T18:32:04"/>
        <d v="2022-11-15T08:04:52"/>
        <d v="2022-11-15T08:10:17"/>
        <d v="2022-11-15T08:13:42"/>
        <d v="2022-11-15T08:20:10"/>
        <d v="2022-11-15T08:23:07"/>
        <d v="2022-11-15T08:40:38"/>
        <d v="2022-11-15T08:44:44"/>
        <d v="2022-11-15T08:53:51"/>
        <d v="2022-11-15T09:40:01"/>
        <d v="2022-11-15T15:16:37"/>
        <d v="2022-11-15T16:59:44"/>
        <d v="2022-11-15T17:02:01"/>
        <d v="2022-11-15T17:25:42"/>
        <d v="2022-11-15T19:05:52"/>
        <d v="2022-11-15T19:28:12"/>
        <d v="2022-11-15T20:07:38"/>
        <d v="2022-11-15T21:56:56"/>
        <d v="2022-11-16T00:51:49"/>
        <d v="2022-11-16T12:59:19"/>
        <d v="2022-11-16T13:00:31"/>
        <d v="2022-11-16T14:19:43"/>
        <d v="2022-11-16T14:21:49"/>
        <d v="2022-11-16T15:28:37"/>
        <d v="2022-11-16T18:42:01"/>
        <d v="2022-11-16T18:48:04"/>
        <d v="2022-11-16T19:00:18"/>
        <d v="2022-11-17T16:10:53"/>
        <d v="2022-11-17T16:21:00"/>
        <d v="2022-11-17T16:56:49"/>
        <d v="2022-11-17T17:36:29"/>
        <d v="2022-11-17T18:42:12"/>
        <d v="2022-11-17T18:54:14"/>
        <d v="2022-11-17T18:57:34"/>
        <d v="2022-11-17T19:28:37"/>
        <d v="2022-11-17T20:38:18"/>
        <d v="2022-11-17T20:40:13"/>
        <d v="2022-11-17T20:42:12"/>
        <d v="2022-11-17T20:43:54"/>
        <d v="2022-11-17T20:46:50"/>
        <d v="2022-11-17T22:24:39"/>
        <d v="2022-11-17T22:27:44"/>
        <d v="2022-11-17T22:30:47"/>
        <d v="2022-11-17T22:33:06"/>
        <d v="2022-11-17T22:34:58"/>
        <d v="2022-11-17T22:37:44"/>
        <d v="2022-11-17T22:40:45"/>
        <d v="2022-11-17T22:44:45"/>
        <d v="2022-11-18T01:25:21"/>
        <d v="2022-11-18T01:29:17"/>
        <d v="2022-11-18T01:38:32"/>
        <d v="2022-11-18T09:48:36"/>
        <d v="2022-11-18T10:03:05"/>
        <d v="2022-11-18T14:16:21"/>
        <d v="2022-11-18T14:25:03"/>
        <d v="2022-11-18T14:25:53"/>
        <d v="2022-11-18T14:28:05"/>
        <d v="2022-11-18T14:30:02"/>
        <d v="2022-11-18T14:32:24"/>
        <d v="2022-11-18T14:33:45"/>
        <d v="2022-11-18T14:36:43"/>
        <d v="2022-11-18T16:44:17"/>
        <d v="2022-11-18T16:59:03"/>
        <d v="2022-11-18T17:16:42"/>
        <d v="2022-11-18T17:18:24"/>
        <d v="2022-11-18T19:48:11"/>
        <d v="2022-11-18T19:55:42"/>
        <d v="2022-11-18T19:58:52"/>
        <d v="2022-11-18T20:03:39"/>
        <d v="2022-11-18T22:11:48"/>
        <d v="2022-11-19T00:08:35"/>
        <d v="2022-11-20T15:18:28"/>
        <d v="2022-11-21T01:10:08"/>
        <d v="2022-11-21T11:25:27"/>
        <d v="2022-11-21T14:07:09"/>
        <d v="2022-11-21T14:08:52"/>
        <d v="2022-11-21T14:41:54"/>
        <d v="2022-11-21T16:13:24"/>
        <d v="2022-11-21T16:29:55"/>
        <d v="2022-11-21T17:49:30"/>
        <d v="2022-11-21T19:34:39"/>
        <d v="2022-11-21T20:29:12"/>
        <d v="2022-11-21T20:34:21"/>
        <d v="2022-11-21T20:45:33"/>
        <d v="2022-11-21T21:23:34"/>
        <d v="2022-11-21T22:34:54"/>
        <d v="2022-11-22T10:40:08"/>
        <d v="2022-11-22T10:42:12"/>
        <d v="2022-11-22T10:44:15"/>
        <d v="2022-11-22T10:51:14"/>
        <d v="2022-11-22T14:24:23"/>
        <d v="2022-11-22T14:26:28"/>
        <d v="2022-11-22T15:46:55"/>
        <d v="2022-11-22T16:24:28"/>
        <d v="2022-11-22T16:27:38"/>
        <d v="2022-11-22T16:29:28"/>
        <d v="2022-11-22T16:45:54"/>
        <d v="2022-11-22T16:48:58"/>
        <d v="2022-11-22T16:51:38"/>
        <d v="2022-11-22T17:06:53"/>
        <d v="2022-11-22T17:09:08"/>
        <d v="2022-11-22T17:10:57"/>
        <d v="2022-11-22T17:23:40"/>
        <d v="2022-11-22T17:31:14"/>
        <d v="2022-11-22T17:32:09"/>
        <d v="2022-11-22T17:33:45"/>
        <d v="2022-11-22T17:35:31"/>
        <d v="2022-11-22T17:37:59"/>
        <d v="2022-11-22T17:59:13"/>
        <d v="2022-11-22T19:38:37"/>
        <d v="2022-11-22T20:21:47"/>
        <d v="2022-11-23T09:10:34"/>
        <d v="2022-11-23T09:13:40"/>
        <d v="2022-11-23T09:28:51"/>
        <d v="2022-11-23T09:41:10"/>
        <d v="2022-11-23T12:38:57"/>
        <d v="2022-11-23T13:56:10"/>
        <d v="2022-11-23T16:04:29"/>
        <d v="2022-11-23T18:40:36"/>
        <d v="2022-11-23T21:08:33"/>
        <d v="2022-11-24T21:46:28"/>
        <d v="2022-11-24T22:11:09"/>
        <d v="2022-11-25T07:00:54"/>
        <d v="2022-11-25T16:58:25"/>
        <d v="2022-11-25T17:07:12"/>
        <d v="2022-11-25T21:16:45"/>
        <d v="2022-11-28T15:55:58"/>
        <d v="2022-11-28T16:19:32"/>
        <d v="2022-11-28T16:52:28"/>
        <d v="2022-11-28T16:56:28"/>
        <d v="2022-11-28T19:53:12"/>
        <d v="2022-11-28T21:31:40"/>
        <d v="2022-11-29T01:59:02"/>
        <d v="2022-11-29T03:24:34"/>
        <d v="2022-11-29T14:16:22"/>
        <d v="2022-11-29T14:55:25"/>
        <d v="2022-11-29T14:57:03"/>
        <d v="2022-11-29T15:26:53"/>
        <d v="2022-11-29T15:29:58"/>
        <d v="2022-11-29T16:46:11"/>
        <d v="2022-11-29T17:13:24"/>
        <d v="2022-11-29T17:20:11"/>
        <d v="2022-11-29T17:24:11"/>
        <d v="2022-11-29T17:35:11"/>
        <d v="2022-11-29T18:14:27"/>
        <d v="2022-11-29T18:27:33"/>
        <d v="2022-11-29T18:29:47"/>
        <d v="2022-11-29T18:32:03"/>
        <d v="2022-11-29T18:34:43"/>
        <d v="2022-11-29T18:38:08"/>
        <d v="2022-11-29T18:53:13"/>
        <d v="2022-11-29T21:55:06"/>
        <d v="2022-11-29T22:03:31"/>
        <d v="2022-11-29T22:15:52"/>
        <d v="2022-11-29T22:27:45"/>
        <d v="2022-11-30T09:33:23"/>
        <d v="2022-11-30T14:05:22"/>
        <d v="2022-11-30T14:07:35"/>
        <d v="2022-11-30T14:09:17"/>
        <d v="2022-11-30T15:02:56"/>
        <d v="2022-11-30T15:06:34"/>
        <d v="2022-11-30T15:24:06"/>
        <d v="2022-11-30T15:44:19"/>
        <d v="2022-11-30T15:46:21"/>
        <d v="2022-11-30T15:51:10"/>
        <d v="2022-11-30T15:58:03"/>
        <d v="2022-11-30T17:01:27"/>
        <d v="2022-11-30T17:12:34"/>
        <d v="2022-11-30T17:31:17"/>
        <d v="2022-11-30T18:08:14"/>
        <d v="2022-11-30T19:02:55"/>
        <d v="2022-11-30T19:29:32"/>
        <d v="2022-11-30T22:48:00"/>
        <d v="2022-12-01T00:05:43"/>
        <d v="2022-12-01T06:47:30"/>
        <d v="2022-12-01T11:12:44"/>
        <d v="2022-12-01T13:57:04"/>
        <d v="2022-12-01T14:00:19"/>
        <d v="2022-12-01T14:00:21"/>
        <d v="2022-12-01T14:02:30"/>
        <d v="2022-12-01T14:03:53"/>
        <d v="2022-12-01T14:04:58"/>
        <d v="2022-12-01T14:06:01"/>
        <d v="2022-12-01T14:07:04"/>
        <d v="2022-12-01T14:08:36"/>
        <d v="2022-12-01T14:09:33"/>
        <d v="2022-12-01T14:10:38"/>
        <d v="2022-12-01T14:13:21"/>
        <d v="2022-12-01T15:25:24"/>
        <d v="2022-12-01T16:36:16"/>
        <d v="2022-12-01T16:36:51"/>
        <d v="2022-12-01T16:40:25"/>
        <d v="2022-12-01T17:13:28"/>
        <d v="2022-12-01T17:18:15"/>
        <d v="2022-12-01T17:23:18"/>
        <d v="2022-12-01T17:28:33"/>
        <d v="2022-12-01T19:12:21"/>
        <d v="2022-12-01T19:16:44"/>
        <d v="2022-12-01T19:52:52"/>
        <d v="2022-12-01T20:20:05"/>
        <d v="2022-12-01T20:30:44"/>
        <d v="2022-12-01T21:30:30"/>
        <d v="2022-12-01T21:31:36"/>
        <d v="2022-12-01T21:32:37"/>
        <d v="2022-12-01T21:34:29"/>
        <d v="2022-12-01T22:20:00"/>
        <d v="2022-12-01T22:23:01"/>
        <d v="2022-12-02T04:50:32"/>
        <d v="2022-12-02T05:26:40"/>
        <d v="2022-12-02T11:51:17"/>
        <d v="2022-12-02T14:16:02"/>
        <d v="2022-12-02T14:18:14"/>
        <d v="2022-12-02T14:19:45"/>
        <d v="2022-12-02T14:20:57"/>
        <d v="2022-12-02T14:38:46"/>
        <d v="2022-12-02T14:43:51"/>
        <d v="2022-12-02T14:48:12"/>
        <d v="2022-12-02T14:49:37"/>
        <d v="2022-12-02T14:50:32"/>
        <d v="2022-12-02T14:52:04"/>
        <d v="2022-12-02T14:58:13"/>
        <d v="2022-12-02T15:00:17"/>
        <d v="2022-12-02T15:12:18"/>
        <d v="2022-12-02T15:15:10"/>
        <d v="2022-12-02T15:20:00"/>
        <d v="2022-12-02T15:20:55"/>
        <d v="2022-12-02T16:28:04"/>
        <d v="2022-12-02T16:34:50"/>
        <d v="2022-12-02T16:52:13"/>
        <d v="2022-12-02T16:54:47"/>
        <d v="2022-12-02T17:04:52"/>
        <d v="2022-12-02T17:46:29"/>
        <d v="2022-12-02T17:46:30"/>
        <d v="2022-12-02T17:56:18"/>
        <d v="2022-12-02T17:58:18"/>
        <d v="2022-12-02T17:59:50"/>
        <d v="2022-12-02T18:00:59"/>
        <d v="2022-12-02T18:01:46"/>
        <d v="2022-12-02T18:03:11"/>
        <d v="2022-12-02T18:11:43"/>
        <d v="2022-12-02T18:20:31"/>
        <d v="2022-12-02T18:53:28"/>
        <d v="2022-12-02T19:26:04"/>
        <d v="2022-12-02T20:58:27"/>
        <d v="2022-12-02T21:25:02"/>
        <d v="2022-12-02T22:59:16"/>
        <d v="2022-12-03T04:02:27"/>
        <d v="2022-12-03T16:04:07"/>
        <d v="2022-12-03T16:05:29"/>
        <d v="2022-12-03T16:08:55"/>
        <d v="2022-12-05T14:52:41"/>
        <d v="2022-12-05T15:25:07"/>
        <d v="2022-12-05T15:33:32"/>
        <d v="2022-12-05T15:45:12"/>
        <d v="2022-12-05T16:03:19"/>
        <d v="2022-12-05T16:05:45"/>
        <d v="2022-12-05T16:23:14"/>
        <d v="2022-12-05T16:29:44"/>
        <d v="2022-12-05T16:40:30"/>
        <d v="2022-12-05T19:17:41"/>
        <d v="2022-12-05T19:19:10"/>
        <d v="2022-12-05T19:39:26"/>
        <d v="2022-12-05T20:24:03"/>
        <d v="2022-12-05T20:30:02"/>
        <d v="2022-12-05T20:54:28"/>
        <d v="2022-12-05T21:22:31"/>
        <d v="2022-12-05T21:28:50"/>
        <d v="2022-12-05T21:43:02"/>
        <d v="2022-12-05T22:11:40"/>
        <d v="2022-12-05T22:17:41"/>
        <d v="2022-12-05T23:46:22"/>
        <d v="2022-12-05T23:51:54"/>
        <d v="2022-12-06T10:45:46"/>
        <d v="2022-12-06T11:25:27"/>
        <d v="2022-12-06T11:39:51"/>
        <d v="2022-12-06T11:58:47"/>
        <d v="2022-12-06T12:01:28"/>
        <d v="2022-12-06T13:58:53"/>
        <d v="2022-12-06T14:36:13"/>
        <d v="2022-12-06T15:11:26"/>
        <d v="2022-12-06T15:15:35"/>
        <d v="2022-12-06T15:52:05"/>
        <d v="2022-12-06T15:56:03"/>
        <d v="2022-12-06T15:58:24"/>
        <d v="2022-12-06T15:59:48"/>
        <d v="2022-12-06T16:01:37"/>
        <d v="2022-12-06T17:19:41"/>
        <d v="2022-12-06T17:21:56"/>
        <d v="2022-12-06T17:29:05"/>
        <d v="2022-12-06T18:02:17"/>
        <d v="2022-12-06T18:14:10"/>
        <d v="2022-12-06T18:25:22"/>
        <d v="2022-12-06T19:47:59"/>
        <d v="2022-12-06T20:57:33"/>
        <d v="2022-12-06T21:00:20"/>
        <d v="2022-12-06T22:20:41"/>
        <d v="2022-12-07T13:17:52"/>
        <d v="2022-12-07T19:04:10"/>
        <d v="2022-12-07T19:05:10"/>
        <d v="2022-12-07T19:10:48"/>
        <d v="2022-12-07T22:18:24"/>
        <d v="2022-12-08T01:00:12"/>
        <d v="2022-12-08T10:14:34"/>
        <d v="2022-12-08T12:55:14"/>
        <d v="2022-12-08T13:25:08"/>
        <d v="2022-12-08T15:27:12"/>
        <d v="2022-12-08T15:31:48"/>
        <d v="2022-12-08T15:47:32"/>
        <d v="2022-12-08T15:56:00"/>
        <d v="2022-12-08T16:03:15"/>
        <d v="2022-12-08T16:08:02"/>
        <d v="2022-12-08T16:27:08"/>
        <d v="2022-12-08T17:16:43"/>
        <d v="2022-12-08T17:30:19"/>
        <d v="2022-12-08T17:34:06"/>
        <d v="2022-12-08T17:36:19"/>
        <d v="2022-12-08T17:38:16"/>
        <d v="2022-12-08T19:03:20"/>
        <d v="2022-12-08T19:14:37"/>
        <d v="2022-12-08T19:23:01"/>
        <d v="2022-12-09T09:47:12"/>
        <d v="2022-12-09T14:05:33"/>
        <d v="2022-12-09T14:21:21"/>
        <d v="2022-12-09T15:51:22"/>
        <d v="2022-12-09T17:29:56"/>
        <d v="2022-12-09T17:32:06"/>
        <d v="2022-12-09T17:34:21"/>
        <d v="2022-12-09T17:35:44"/>
        <d v="2022-12-09T17:38:17"/>
        <d v="2022-12-09T18:53:11"/>
        <d v="2022-12-09T18:57:20"/>
        <d v="2022-12-09T19:52:56"/>
        <d v="2022-12-09T20:01:49"/>
        <d v="2022-12-09T20:42:39"/>
        <d v="2022-12-09T23:33:55"/>
        <d v="2022-12-10T00:37:44"/>
        <d v="2022-12-10T17:39:53"/>
        <d v="2022-12-12T00:45:48"/>
        <d v="2022-12-12T01:01:51"/>
        <d v="2022-12-12T10:05:39"/>
        <d v="2022-12-12T10:23:02"/>
        <d v="2022-12-12T12:37:39"/>
        <d v="2022-12-12T13:19:04"/>
        <d v="2022-12-12T13:28:02"/>
        <d v="2022-12-12T13:32:58"/>
        <d v="2022-12-12T13:34:56"/>
        <d v="2022-12-12T14:45:11"/>
        <d v="2022-12-12T14:53:06"/>
        <d v="2022-12-12T15:12:49"/>
        <d v="2022-12-12T17:36:45"/>
        <d v="2022-12-12T17:45:37"/>
        <d v="2022-12-12T17:47:15"/>
        <d v="2022-12-12T17:48:27"/>
        <d v="2022-12-12T17:48:29"/>
        <d v="2022-12-12T17:49:07"/>
        <d v="2022-12-12T18:02:24"/>
        <d v="2022-12-12T18:18:42"/>
        <d v="2022-12-12T18:19:58"/>
        <d v="2022-12-12T18:22:29"/>
        <d v="2022-12-12T18:57:31"/>
        <d v="2022-12-12T20:05:36"/>
        <d v="2022-12-12T22:29:54"/>
        <d v="2022-12-12T23:36:04"/>
        <d v="2022-12-13T04:33:48"/>
        <d v="2022-12-13T04:38:07"/>
        <d v="2022-12-13T04:45:18"/>
        <d v="2022-12-13T04:55:26"/>
        <d v="2022-12-13T04:57:47"/>
        <d v="2022-12-13T05:06:09"/>
        <d v="2022-12-13T05:09:44"/>
        <d v="2022-12-13T05:18:13"/>
        <d v="2022-12-13T09:00:16"/>
        <d v="2022-12-13T13:32:54"/>
        <d v="2022-12-13T13:52:49"/>
        <d v="2022-12-13T14:02:12"/>
        <d v="2022-12-13T14:03:44"/>
        <d v="2022-12-13T14:05:22"/>
        <d v="2022-12-13T14:05:53"/>
        <d v="2022-12-13T15:11:53"/>
        <d v="2022-12-13T15:27:42"/>
        <d v="2022-12-13T15:29:46"/>
        <d v="2022-12-13T17:04:10"/>
        <d v="2022-12-13T17:06:33"/>
        <d v="2022-12-13T17:18:06"/>
        <d v="2022-12-13T17:41:12"/>
        <d v="2022-12-13T20:57:58"/>
        <d v="2022-12-13T21:41:54"/>
        <d v="2022-12-13T21:43:16"/>
        <d v="2022-12-13T21:44:44"/>
        <d v="2022-12-13T21:46:45"/>
        <d v="2022-12-14T12:04:39"/>
        <d v="2022-12-14T12:06:01"/>
        <d v="2022-12-14T12:07:36"/>
        <d v="2022-12-14T12:09:43"/>
        <d v="2022-12-14T12:11:26"/>
        <d v="2022-12-14T12:13:10"/>
        <d v="2022-12-14T12:14:41"/>
        <d v="2022-12-14T12:15:57"/>
        <d v="2022-12-14T12:17:10"/>
        <d v="2022-12-14T12:18:22"/>
        <d v="2022-12-14T12:20:53"/>
        <d v="2022-12-14T12:35:12"/>
      </sharedItems>
      <fieldGroup par="13"/>
    </cacheField>
    <cacheField name="Last activity date" numFmtId="14">
      <sharedItems containsSemiMixedTypes="0" containsNonDate="0" containsDate="1" containsString="0" minDate="2020-05-08T00:00:00" maxDate="2025-10-07T00:00:00"/>
    </cacheField>
    <cacheField name="Source" numFmtId="0">
      <sharedItems count="9">
        <s v="Google Ads"/>
        <s v="Sales"/>
        <s v="LinkedIn"/>
        <s v="Twitter"/>
        <s v="Referral"/>
        <s v="Past Event"/>
        <s v="LinkedIn Ad"/>
        <s v="Organic search"/>
        <s v="Digital campaign"/>
      </sharedItems>
    </cacheField>
    <cacheField name="Months (Created date)" numFmtId="0" databaseField="0">
      <fieldGroup base="8">
        <rangePr groupBy="months" startDate="2017-01-03T00:00:00" endDate="2022-12-14T12:35:12"/>
        <groupItems count="14">
          <s v="&lt;03/01/2017"/>
          <s v="Jan"/>
          <s v="Feb"/>
          <s v="Mar"/>
          <s v="Apr"/>
          <s v="May"/>
          <s v="Jun"/>
          <s v="Jul"/>
          <s v="Aug"/>
          <s v="Sep"/>
          <s v="Oct"/>
          <s v="Nov"/>
          <s v="Dec"/>
          <s v="&gt;14/12/2022"/>
        </groupItems>
      </fieldGroup>
    </cacheField>
    <cacheField name="Quarters (Created date)" numFmtId="0" databaseField="0">
      <fieldGroup base="8">
        <rangePr groupBy="quarters" startDate="2017-01-03T00:00:00" endDate="2022-12-14T12:35:12"/>
        <groupItems count="6">
          <s v="&lt;03/01/2017"/>
          <s v="Qtr1"/>
          <s v="Qtr2"/>
          <s v="Qtr3"/>
          <s v="Qtr4"/>
          <s v="&gt;14/12/2022"/>
        </groupItems>
      </fieldGroup>
    </cacheField>
    <cacheField name="Years (Created date)" numFmtId="0" databaseField="0">
      <fieldGroup base="8">
        <rangePr groupBy="years" startDate="2017-01-03T00:00:00" endDate="2022-12-14T12:35:12"/>
        <groupItems count="8">
          <s v="&lt;03/01/2017"/>
          <s v="2017"/>
          <s v="2018"/>
          <s v="2019"/>
          <s v="2020"/>
          <s v="2021"/>
          <s v="2022"/>
          <s v="&gt;14/12/2022"/>
        </groupItems>
      </fieldGroup>
    </cacheField>
  </cacheFields>
  <extLst>
    <ext xmlns:x14="http://schemas.microsoft.com/office/spreadsheetml/2009/9/main" uri="{725AE2AE-9491-48be-B2B4-4EB974FC3084}">
      <x14:pivotCacheDefinition pivotCacheId="2680977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
  <r>
    <n v="1"/>
    <x v="0"/>
    <x v="0"/>
    <x v="0"/>
    <x v="0"/>
    <x v="0"/>
    <n v="4"/>
    <n v="1"/>
    <n v="3"/>
    <n v="841"/>
    <n v="333"/>
    <n v="228"/>
    <n v="71"/>
    <n v="46"/>
    <n v="1"/>
    <n v="302"/>
    <n v="0.27110582639714625"/>
    <n v="0.35909631391200952"/>
    <e v="#N/A"/>
    <e v="#N/A"/>
    <n v="1.1890606420927466E-3"/>
    <n v="0.20175438596491227"/>
    <n v="4.7337278106508876E-3"/>
    <n v="5.4696789536266346E-2"/>
    <n v="0.99526627218934915"/>
  </r>
  <r>
    <n v="2"/>
    <x v="1"/>
    <x v="1"/>
    <x v="1"/>
    <x v="1"/>
    <x v="1"/>
    <n v="0"/>
    <n v="0"/>
    <n v="0"/>
    <n v="570"/>
    <n v="2037"/>
    <n v="334"/>
    <n v="397"/>
    <n v="191"/>
    <n v="0"/>
    <n v="227"/>
    <n v="0.5859649122807018"/>
    <n v="0.39824561403508774"/>
    <e v="#N/A"/>
    <e v="#N/A"/>
    <n v="0"/>
    <n v="0.57185628742514971"/>
    <n v="0"/>
    <n v="0.3350877192982456"/>
    <n v="1"/>
  </r>
  <r>
    <n v="3"/>
    <x v="2"/>
    <x v="2"/>
    <x v="2"/>
    <x v="2"/>
    <x v="2"/>
    <n v="0"/>
    <n v="0"/>
    <n v="0"/>
    <n v="138"/>
    <n v="535"/>
    <n v="67"/>
    <n v="152"/>
    <n v="42"/>
    <n v="0"/>
    <n v="71"/>
    <n v="0.48550724637681159"/>
    <n v="0.51449275362318836"/>
    <e v="#N/A"/>
    <e v="#N/A"/>
    <n v="0"/>
    <n v="0.62686567164179108"/>
    <n v="0"/>
    <n v="0.30434782608695654"/>
    <n v="1"/>
  </r>
  <r>
    <n v="4"/>
    <x v="2"/>
    <x v="2"/>
    <x v="3"/>
    <x v="3"/>
    <x v="3"/>
    <n v="1"/>
    <n v="0"/>
    <n v="1"/>
    <n v="36"/>
    <n v="66"/>
    <n v="19"/>
    <n v="26"/>
    <n v="10"/>
    <n v="0"/>
    <n v="27"/>
    <n v="0.52777777777777779"/>
    <n v="0.75"/>
    <e v="#N/A"/>
    <e v="#N/A"/>
    <n v="0"/>
    <n v="0.52631578947368418"/>
    <n v="2.7027027027027029E-2"/>
    <n v="0.27777777777777779"/>
    <n v="0.97297297297297303"/>
  </r>
  <r>
    <n v="5"/>
    <x v="3"/>
    <x v="3"/>
    <x v="4"/>
    <x v="4"/>
    <x v="4"/>
    <n v="67"/>
    <n v="25"/>
    <n v="42"/>
    <n v="7488"/>
    <n v="2305"/>
    <n v="1692"/>
    <n v="2620"/>
    <n v="167"/>
    <n v="12"/>
    <n v="1500"/>
    <n v="0.22596153846153846"/>
    <n v="0.20032051282051283"/>
    <e v="#N/A"/>
    <e v="#N/A"/>
    <n v="1.6025641025641025E-3"/>
    <n v="9.8699763593380618E-2"/>
    <n v="8.86829913964262E-3"/>
    <n v="2.2302350427350428E-2"/>
    <n v="0.9911317008603574"/>
  </r>
  <r>
    <n v="6"/>
    <x v="4"/>
    <x v="4"/>
    <x v="5"/>
    <x v="5"/>
    <x v="5"/>
    <n v="1"/>
    <n v="0"/>
    <n v="1"/>
    <n v="790"/>
    <n v="1515"/>
    <n v="434"/>
    <n v="566"/>
    <n v="243"/>
    <n v="0"/>
    <n v="248"/>
    <n v="0.54936708860759498"/>
    <n v="0.3139240506329114"/>
    <e v="#N/A"/>
    <e v="#N/A"/>
    <n v="0"/>
    <n v="0.55990783410138245"/>
    <n v="1.2642225031605564E-3"/>
    <n v="0.30759493670886073"/>
    <n v="0.99873577749683939"/>
  </r>
  <r>
    <n v="7"/>
    <x v="5"/>
    <x v="5"/>
    <x v="6"/>
    <x v="6"/>
    <x v="6"/>
    <n v="0"/>
    <n v="0"/>
    <n v="0"/>
    <n v="381"/>
    <n v="316"/>
    <n v="167"/>
    <n v="137"/>
    <n v="22"/>
    <n v="0"/>
    <n v="238"/>
    <n v="0.43832020997375326"/>
    <n v="0.62467191601049865"/>
    <e v="#N/A"/>
    <e v="#N/A"/>
    <n v="0"/>
    <n v="0.1317365269461078"/>
    <n v="0"/>
    <n v="5.774278215223097E-2"/>
    <n v="1"/>
  </r>
  <r>
    <n v="8"/>
    <x v="1"/>
    <x v="6"/>
    <x v="7"/>
    <x v="7"/>
    <x v="7"/>
    <n v="0"/>
    <n v="0"/>
    <n v="0"/>
    <n v="661"/>
    <n v="933"/>
    <n v="323"/>
    <n v="31"/>
    <n v="22"/>
    <n v="0"/>
    <n v="218"/>
    <n v="0.4886535552193646"/>
    <n v="0.32980332829046899"/>
    <e v="#N/A"/>
    <e v="#N/A"/>
    <n v="0"/>
    <n v="6.8111455108359129E-2"/>
    <n v="0"/>
    <n v="3.3282904689863842E-2"/>
    <n v="1"/>
  </r>
  <r>
    <n v="9"/>
    <x v="4"/>
    <x v="7"/>
    <x v="8"/>
    <x v="8"/>
    <x v="8"/>
    <n v="0"/>
    <n v="0"/>
    <n v="0"/>
    <n v="429"/>
    <n v="684"/>
    <n v="186"/>
    <n v="224"/>
    <n v="99"/>
    <n v="0"/>
    <n v="86"/>
    <n v="0.43356643356643354"/>
    <n v="0.20046620046620048"/>
    <e v="#N/A"/>
    <e v="#N/A"/>
    <n v="0"/>
    <n v="0.532258064516129"/>
    <n v="0"/>
    <n v="0.23076923076923078"/>
    <n v="1"/>
  </r>
  <r>
    <n v="10"/>
    <x v="4"/>
    <x v="8"/>
    <x v="9"/>
    <x v="5"/>
    <x v="9"/>
    <n v="0"/>
    <n v="0"/>
    <n v="0"/>
    <n v="31"/>
    <n v="20"/>
    <n v="12"/>
    <n v="2"/>
    <n v="1"/>
    <n v="0"/>
    <n v="3"/>
    <n v="0.38709677419354838"/>
    <n v="9.6774193548387094E-2"/>
    <e v="#N/A"/>
    <e v="#N/A"/>
    <n v="0"/>
    <n v="8.3333333333333329E-2"/>
    <n v="0"/>
    <n v="3.2258064516129031E-2"/>
    <n v="1"/>
  </r>
  <r>
    <n v="11"/>
    <x v="1"/>
    <x v="9"/>
    <x v="10"/>
    <x v="9"/>
    <x v="10"/>
    <n v="0"/>
    <n v="0"/>
    <n v="0"/>
    <n v="53"/>
    <n v="21"/>
    <n v="17"/>
    <n v="6"/>
    <n v="4"/>
    <n v="0"/>
    <n v="23"/>
    <n v="0.32075471698113206"/>
    <n v="0.43396226415094341"/>
    <e v="#N/A"/>
    <e v="#N/A"/>
    <n v="0"/>
    <n v="0.23529411764705882"/>
    <n v="0"/>
    <n v="7.5471698113207544E-2"/>
    <n v="1"/>
  </r>
  <r>
    <n v="12"/>
    <x v="2"/>
    <x v="10"/>
    <x v="11"/>
    <x v="10"/>
    <x v="11"/>
    <n v="0"/>
    <n v="0"/>
    <n v="0"/>
    <n v="143"/>
    <n v="827"/>
    <n v="75"/>
    <n v="74"/>
    <n v="27"/>
    <n v="0"/>
    <n v="133"/>
    <n v="0.52447552447552448"/>
    <n v="0.93006993006993011"/>
    <e v="#N/A"/>
    <e v="#N/A"/>
    <n v="0"/>
    <n v="0.36"/>
    <n v="0"/>
    <n v="0.1888111888111888"/>
    <n v="1"/>
  </r>
  <r>
    <n v="13"/>
    <x v="4"/>
    <x v="11"/>
    <x v="12"/>
    <x v="11"/>
    <x v="12"/>
    <n v="0"/>
    <n v="0"/>
    <n v="0"/>
    <n v="10"/>
    <n v="18"/>
    <n v="6"/>
    <n v="3"/>
    <n v="3"/>
    <n v="0"/>
    <n v="1"/>
    <n v="0.6"/>
    <n v="0.1"/>
    <e v="#N/A"/>
    <e v="#N/A"/>
    <n v="0"/>
    <n v="0.5"/>
    <n v="0"/>
    <n v="0.3"/>
    <n v="1"/>
  </r>
  <r>
    <n v="14"/>
    <x v="5"/>
    <x v="12"/>
    <x v="13"/>
    <x v="12"/>
    <x v="13"/>
    <n v="0"/>
    <n v="0"/>
    <n v="0"/>
    <n v="148"/>
    <n v="209"/>
    <n v="88"/>
    <n v="49"/>
    <n v="38"/>
    <n v="0"/>
    <n v="92"/>
    <n v="0.59459459459459463"/>
    <n v="0.6216216216216216"/>
    <e v="#N/A"/>
    <e v="#N/A"/>
    <n v="0"/>
    <n v="0.43181818181818182"/>
    <n v="0"/>
    <n v="0.25675675675675674"/>
    <n v="1"/>
  </r>
  <r>
    <n v="15"/>
    <x v="1"/>
    <x v="13"/>
    <x v="14"/>
    <x v="13"/>
    <x v="14"/>
    <n v="1"/>
    <n v="0"/>
    <n v="1"/>
    <n v="845"/>
    <n v="1121"/>
    <n v="493"/>
    <n v="174"/>
    <n v="117"/>
    <n v="0"/>
    <n v="303"/>
    <n v="0.58343195266272185"/>
    <n v="0.35857988165680471"/>
    <e v="#N/A"/>
    <e v="#N/A"/>
    <n v="0"/>
    <n v="0.23732251521298176"/>
    <n v="1.1820330969267139E-3"/>
    <n v="0.13846153846153847"/>
    <n v="0.99881796690307334"/>
  </r>
  <r>
    <n v="16"/>
    <x v="4"/>
    <x v="14"/>
    <x v="15"/>
    <x v="3"/>
    <x v="15"/>
    <n v="0"/>
    <n v="0"/>
    <n v="0"/>
    <n v="1023"/>
    <n v="784"/>
    <n v="464"/>
    <n v="36"/>
    <n v="25"/>
    <n v="0"/>
    <n v="380"/>
    <n v="0.45356793743890517"/>
    <n v="0.37145650048875856"/>
    <e v="#N/A"/>
    <e v="#N/A"/>
    <n v="0"/>
    <n v="5.3879310344827583E-2"/>
    <n v="0"/>
    <n v="2.4437927663734114E-2"/>
    <n v="1"/>
  </r>
  <r>
    <n v="17"/>
    <x v="4"/>
    <x v="15"/>
    <x v="16"/>
    <x v="14"/>
    <x v="16"/>
    <n v="0"/>
    <n v="0"/>
    <n v="0"/>
    <n v="91"/>
    <n v="94"/>
    <n v="55"/>
    <n v="33"/>
    <n v="24"/>
    <n v="0"/>
    <n v="45"/>
    <n v="0.60439560439560436"/>
    <n v="0.49450549450549453"/>
    <e v="#N/A"/>
    <e v="#N/A"/>
    <n v="0"/>
    <n v="0.43636363636363634"/>
    <n v="0"/>
    <n v="0.26373626373626374"/>
    <n v="1"/>
  </r>
  <r>
    <n v="18"/>
    <x v="4"/>
    <x v="16"/>
    <x v="17"/>
    <x v="15"/>
    <x v="17"/>
    <n v="1"/>
    <n v="0"/>
    <n v="1"/>
    <n v="167"/>
    <n v="257"/>
    <n v="105"/>
    <n v="24"/>
    <n v="19"/>
    <n v="0"/>
    <n v="112"/>
    <n v="0.62874251497005984"/>
    <n v="0.6706586826347305"/>
    <e v="#N/A"/>
    <e v="#N/A"/>
    <n v="0"/>
    <n v="0.18095238095238095"/>
    <n v="5.9523809523809521E-3"/>
    <n v="0.11377245508982035"/>
    <n v="0.99404761904761907"/>
  </r>
  <r>
    <n v="19"/>
    <x v="4"/>
    <x v="17"/>
    <x v="18"/>
    <x v="0"/>
    <x v="18"/>
    <n v="0"/>
    <n v="0"/>
    <n v="0"/>
    <n v="57"/>
    <n v="52"/>
    <n v="33"/>
    <n v="0"/>
    <n v="0"/>
    <n v="0"/>
    <n v="13"/>
    <n v="0.57894736842105265"/>
    <n v="0.22807017543859648"/>
    <e v="#N/A"/>
    <e v="#N/A"/>
    <n v="0"/>
    <n v="0"/>
    <n v="0"/>
    <n v="0"/>
    <n v="1"/>
  </r>
  <r>
    <n v="20"/>
    <x v="5"/>
    <x v="18"/>
    <x v="19"/>
    <x v="16"/>
    <x v="19"/>
    <n v="1"/>
    <n v="0"/>
    <n v="1"/>
    <n v="449"/>
    <n v="306"/>
    <n v="189"/>
    <n v="106"/>
    <n v="14"/>
    <n v="1"/>
    <n v="107"/>
    <n v="0.42093541202672607"/>
    <n v="0.23830734966592429"/>
    <e v="#N/A"/>
    <e v="#N/A"/>
    <n v="2.2271714922048997E-3"/>
    <n v="7.407407407407407E-2"/>
    <n v="2.2222222222222222E-3"/>
    <n v="3.1180400890868598E-2"/>
    <n v="0.99777777777777776"/>
  </r>
  <r>
    <n v="21"/>
    <x v="6"/>
    <x v="19"/>
    <x v="20"/>
    <x v="17"/>
    <x v="20"/>
    <n v="7"/>
    <n v="1"/>
    <n v="6"/>
    <n v="896"/>
    <n v="1287"/>
    <n v="436"/>
    <n v="393"/>
    <n v="180"/>
    <n v="0"/>
    <n v="74"/>
    <n v="0.48660714285714285"/>
    <n v="8.2589285714285712E-2"/>
    <e v="#N/A"/>
    <e v="#N/A"/>
    <n v="0"/>
    <n v="0.41284403669724773"/>
    <n v="7.7519379844961239E-3"/>
    <n v="0.20089285714285715"/>
    <n v="0.99224806201550386"/>
  </r>
  <r>
    <n v="22"/>
    <x v="5"/>
    <x v="20"/>
    <x v="21"/>
    <x v="18"/>
    <x v="21"/>
    <n v="0"/>
    <n v="0"/>
    <n v="0"/>
    <n v="72"/>
    <n v="49"/>
    <n v="34"/>
    <n v="39"/>
    <n v="4"/>
    <n v="0"/>
    <n v="12"/>
    <n v="0.47222222222222221"/>
    <n v="0.16666666666666666"/>
    <e v="#N/A"/>
    <e v="#N/A"/>
    <n v="0"/>
    <n v="0.11764705882352941"/>
    <n v="0"/>
    <n v="5.5555555555555552E-2"/>
    <n v="1"/>
  </r>
  <r>
    <n v="23"/>
    <x v="5"/>
    <x v="21"/>
    <x v="21"/>
    <x v="18"/>
    <x v="21"/>
    <n v="0"/>
    <n v="0"/>
    <n v="0"/>
    <n v="72"/>
    <n v="49"/>
    <n v="30"/>
    <n v="4"/>
    <n v="3"/>
    <n v="0"/>
    <n v="12"/>
    <n v="0.41666666666666669"/>
    <n v="0.16666666666666666"/>
    <e v="#N/A"/>
    <e v="#N/A"/>
    <n v="0"/>
    <n v="0.1"/>
    <n v="0"/>
    <n v="4.1666666666666664E-2"/>
    <n v="1"/>
  </r>
  <r>
    <n v="24"/>
    <x v="3"/>
    <x v="22"/>
    <x v="22"/>
    <x v="8"/>
    <x v="22"/>
    <n v="97"/>
    <n v="21"/>
    <n v="76"/>
    <n v="7643"/>
    <n v="2361"/>
    <n v="1756"/>
    <n v="3155"/>
    <n v="156"/>
    <n v="14"/>
    <n v="5500"/>
    <n v="0.22975271490252519"/>
    <n v="0.71961271751929867"/>
    <e v="#N/A"/>
    <e v="#N/A"/>
    <n v="1.8317414627763966E-3"/>
    <n v="8.8838268792710701E-2"/>
    <n v="1.2532299741602066E-2"/>
    <n v="2.0410833442365564E-2"/>
    <n v="0.98746770025839792"/>
  </r>
  <r>
    <n v="25"/>
    <x v="5"/>
    <x v="20"/>
    <x v="23"/>
    <x v="19"/>
    <x v="23"/>
    <n v="1"/>
    <n v="0"/>
    <n v="1"/>
    <n v="430"/>
    <n v="290"/>
    <n v="187"/>
    <n v="97"/>
    <n v="17"/>
    <n v="0"/>
    <n v="88"/>
    <n v="0.43488372093023253"/>
    <n v="0.20465116279069767"/>
    <e v="#N/A"/>
    <e v="#N/A"/>
    <n v="0"/>
    <n v="9.0909090909090912E-2"/>
    <n v="2.3201856148491878E-3"/>
    <n v="3.9534883720930232E-2"/>
    <n v="0.99767981438515085"/>
  </r>
  <r>
    <n v="26"/>
    <x v="3"/>
    <x v="23"/>
    <x v="24"/>
    <x v="20"/>
    <x v="24"/>
    <n v="45"/>
    <n v="19"/>
    <n v="26"/>
    <n v="7608"/>
    <n v="2717"/>
    <n v="1957"/>
    <n v="3357"/>
    <n v="227"/>
    <n v="12"/>
    <n v="2675"/>
    <n v="0.2572292323869611"/>
    <n v="0.3516035751840168"/>
    <e v="#N/A"/>
    <e v="#N/A"/>
    <n v="1.5772870662460567E-3"/>
    <n v="0.11599386816555952"/>
    <n v="5.8800470403763232E-3"/>
    <n v="2.9837013669821239E-2"/>
    <n v="0.99411995295962363"/>
  </r>
  <r>
    <n v="27"/>
    <x v="5"/>
    <x v="24"/>
    <x v="25"/>
    <x v="12"/>
    <x v="25"/>
    <n v="1"/>
    <n v="0"/>
    <n v="1"/>
    <n v="616"/>
    <n v="374"/>
    <n v="244"/>
    <n v="202"/>
    <n v="28"/>
    <n v="2"/>
    <n v="174"/>
    <n v="0.39610389610389612"/>
    <n v="0.28246753246753248"/>
    <e v="#N/A"/>
    <e v="#N/A"/>
    <n v="3.246753246753247E-3"/>
    <n v="0.11475409836065574"/>
    <n v="1.6207455429497568E-3"/>
    <n v="4.5454545454545456E-2"/>
    <n v="0.99837925445705022"/>
  </r>
  <r>
    <n v="28"/>
    <x v="7"/>
    <x v="25"/>
    <x v="26"/>
    <x v="6"/>
    <x v="26"/>
    <n v="49"/>
    <n v="7"/>
    <n v="42"/>
    <n v="4014"/>
    <n v="2054"/>
    <n v="1227"/>
    <n v="565"/>
    <n v="165"/>
    <n v="8"/>
    <n v="2001"/>
    <n v="0.30568011958146485"/>
    <n v="0.49850523168908817"/>
    <e v="#N/A"/>
    <e v="#N/A"/>
    <n v="1.9930244145490781E-3"/>
    <n v="0.13447432762836187"/>
    <n v="1.2060054147181885E-2"/>
    <n v="4.1106128550074741E-2"/>
    <n v="0.98793994585281808"/>
  </r>
  <r>
    <n v="29"/>
    <x v="3"/>
    <x v="26"/>
    <x v="27"/>
    <x v="21"/>
    <x v="27"/>
    <n v="29"/>
    <n v="19"/>
    <n v="10"/>
    <n v="7610"/>
    <n v="2460"/>
    <n v="1804"/>
    <n v="264"/>
    <n v="88"/>
    <n v="5"/>
    <n v="3367"/>
    <n v="0.23705650459921157"/>
    <n v="0.44244415243101182"/>
    <e v="#N/A"/>
    <e v="#N/A"/>
    <n v="6.5703022339027597E-4"/>
    <n v="4.878048780487805E-2"/>
    <n v="3.7963084173321116E-3"/>
    <n v="1.1563731931668857E-2"/>
    <n v="0.99620369158266786"/>
  </r>
  <r>
    <n v="30"/>
    <x v="5"/>
    <x v="27"/>
    <x v="28"/>
    <x v="0"/>
    <x v="28"/>
    <n v="3"/>
    <n v="0"/>
    <n v="3"/>
    <n v="616"/>
    <n v="402"/>
    <n v="259"/>
    <n v="186"/>
    <n v="39"/>
    <n v="1"/>
    <n v="176"/>
    <n v="0.42045454545454547"/>
    <n v="0.2857142857142857"/>
    <e v="#N/A"/>
    <e v="#N/A"/>
    <n v="1.6233766233766235E-3"/>
    <n v="0.15057915057915058"/>
    <n v="4.8465266558966073E-3"/>
    <n v="6.3311688311688305E-2"/>
    <n v="0.99515347334410342"/>
  </r>
  <r>
    <n v="31"/>
    <x v="7"/>
    <x v="28"/>
    <x v="29"/>
    <x v="0"/>
    <x v="29"/>
    <n v="18"/>
    <n v="6"/>
    <n v="12"/>
    <n v="3985"/>
    <n v="1904"/>
    <n v="1157"/>
    <n v="410"/>
    <n v="108"/>
    <n v="8"/>
    <n v="2056"/>
    <n v="0.29033877038895861"/>
    <n v="0.51593475533249689"/>
    <e v="#N/A"/>
    <e v="#N/A"/>
    <n v="2.0075282308657464E-3"/>
    <n v="9.3344857389801209E-2"/>
    <n v="4.4966275293529855E-3"/>
    <n v="2.7101631116687577E-2"/>
    <n v="0.99550337247064702"/>
  </r>
  <r>
    <n v="32"/>
    <x v="3"/>
    <x v="29"/>
    <x v="30"/>
    <x v="0"/>
    <x v="30"/>
    <n v="37"/>
    <n v="15"/>
    <n v="22"/>
    <n v="7577"/>
    <n v="2329"/>
    <n v="1748"/>
    <n v="2944"/>
    <n v="148"/>
    <n v="5"/>
    <n v="1256"/>
    <n v="0.23069816550085787"/>
    <n v="0.16576481457041045"/>
    <e v="#N/A"/>
    <e v="#N/A"/>
    <n v="6.5989177774844921E-4"/>
    <n v="8.4668192219679639E-2"/>
    <n v="4.8594693984764905E-3"/>
    <n v="1.9532796621354098E-2"/>
    <n v="0.99514053060152352"/>
  </r>
  <r>
    <n v="33"/>
    <x v="5"/>
    <x v="30"/>
    <x v="31"/>
    <x v="5"/>
    <x v="31"/>
    <n v="1"/>
    <n v="0"/>
    <n v="1"/>
    <n v="614"/>
    <n v="331"/>
    <n v="227"/>
    <n v="30"/>
    <n v="15"/>
    <n v="1"/>
    <n v="172"/>
    <n v="0.36970684039087948"/>
    <n v="0.28013029315960913"/>
    <e v="#N/A"/>
    <e v="#N/A"/>
    <n v="1.6286644951140066E-3"/>
    <n v="6.6079295154185022E-2"/>
    <n v="1.6260162601626016E-3"/>
    <n v="2.4429967426710098E-2"/>
    <n v="0.99837398373983743"/>
  </r>
  <r>
    <n v="34"/>
    <x v="3"/>
    <x v="31"/>
    <x v="32"/>
    <x v="22"/>
    <x v="32"/>
    <n v="40"/>
    <n v="8"/>
    <n v="32"/>
    <n v="7567"/>
    <n v="2708"/>
    <n v="1966"/>
    <n v="3869"/>
    <n v="209"/>
    <n v="8"/>
    <n v="1890"/>
    <n v="0.2598123430685873"/>
    <n v="0.24976873265494912"/>
    <e v="#N/A"/>
    <e v="#N/A"/>
    <n v="1.0572221488040175E-3"/>
    <n v="0.10630722278738555"/>
    <n v="5.2583147101354019E-3"/>
    <n v="2.7619928637504957E-2"/>
    <n v="0.99474168528986462"/>
  </r>
  <r>
    <n v="35"/>
    <x v="7"/>
    <x v="32"/>
    <x v="33"/>
    <x v="23"/>
    <x v="33"/>
    <n v="1"/>
    <n v="0"/>
    <n v="1"/>
    <n v="491"/>
    <n v="195"/>
    <n v="145"/>
    <n v="9"/>
    <n v="8"/>
    <n v="0"/>
    <n v="154"/>
    <n v="0.29531568228105909"/>
    <n v="0.31364562118126271"/>
    <e v="#N/A"/>
    <e v="#N/A"/>
    <n v="0"/>
    <n v="5.5172413793103448E-2"/>
    <n v="2.0325203252032522E-3"/>
    <n v="1.6293279022403257E-2"/>
    <n v="0.99796747967479671"/>
  </r>
  <r>
    <n v="36"/>
    <x v="7"/>
    <x v="33"/>
    <x v="33"/>
    <x v="23"/>
    <x v="33"/>
    <n v="2"/>
    <n v="1"/>
    <n v="1"/>
    <n v="490"/>
    <n v="185"/>
    <n v="123"/>
    <n v="7"/>
    <n v="6"/>
    <n v="1"/>
    <n v="154"/>
    <n v="0.25102040816326532"/>
    <n v="0.31428571428571428"/>
    <e v="#N/A"/>
    <e v="#N/A"/>
    <n v="2.0408163265306124E-3"/>
    <n v="4.878048780487805E-2"/>
    <n v="4.0650406504065045E-3"/>
    <n v="1.2244897959183673E-2"/>
    <n v="0.99593495934959353"/>
  </r>
  <r>
    <n v="37"/>
    <x v="7"/>
    <x v="32"/>
    <x v="34"/>
    <x v="24"/>
    <x v="34"/>
    <n v="17"/>
    <n v="3"/>
    <n v="14"/>
    <n v="2934"/>
    <n v="1228"/>
    <n v="810"/>
    <n v="126"/>
    <n v="68"/>
    <n v="3"/>
    <n v="1567"/>
    <n v="0.27607361963190186"/>
    <n v="0.53408316291751878"/>
    <e v="#N/A"/>
    <e v="#N/A"/>
    <n v="1.0224948875255625E-3"/>
    <n v="8.3950617283950618E-2"/>
    <n v="5.7607590647238225E-3"/>
    <n v="2.3176550783912748E-2"/>
    <n v="0.99423924093527616"/>
  </r>
  <r>
    <n v="38"/>
    <x v="5"/>
    <x v="34"/>
    <x v="35"/>
    <x v="25"/>
    <x v="35"/>
    <n v="0"/>
    <n v="0"/>
    <n v="0"/>
    <n v="611"/>
    <n v="422"/>
    <n v="255"/>
    <n v="44"/>
    <n v="18"/>
    <n v="1"/>
    <n v="268"/>
    <n v="0.41734860883797054"/>
    <n v="0.43862520458265142"/>
    <e v="#N/A"/>
    <e v="#N/A"/>
    <n v="1.6366612111292963E-3"/>
    <n v="7.0588235294117646E-2"/>
    <n v="0"/>
    <n v="2.9459901800327332E-2"/>
    <n v="1"/>
  </r>
  <r>
    <n v="39"/>
    <x v="8"/>
    <x v="35"/>
    <x v="36"/>
    <x v="26"/>
    <x v="36"/>
    <n v="0"/>
    <n v="0"/>
    <n v="0"/>
    <n v="9"/>
    <n v="14"/>
    <n v="7"/>
    <n v="2"/>
    <n v="2"/>
    <n v="0"/>
    <n v="1"/>
    <n v="0.77777777777777779"/>
    <n v="0.1111111111111111"/>
    <e v="#N/A"/>
    <e v="#N/A"/>
    <n v="0"/>
    <n v="0.2857142857142857"/>
    <n v="0"/>
    <n v="0.22222222222222221"/>
    <n v="1"/>
  </r>
  <r>
    <n v="40"/>
    <x v="8"/>
    <x v="36"/>
    <x v="37"/>
    <x v="0"/>
    <x v="37"/>
    <n v="46"/>
    <n v="10"/>
    <n v="36"/>
    <n v="2807"/>
    <n v="1486"/>
    <n v="980"/>
    <n v="977"/>
    <n v="122"/>
    <n v="5"/>
    <n v="567"/>
    <n v="0.3491271820448878"/>
    <n v="0.20199501246882792"/>
    <e v="#N/A"/>
    <e v="#N/A"/>
    <n v="1.7812611328820805E-3"/>
    <n v="0.12448979591836734"/>
    <n v="1.6123378899404135E-2"/>
    <n v="4.3462771642322762E-2"/>
    <n v="0.98387662110059582"/>
  </r>
  <r>
    <n v="41"/>
    <x v="5"/>
    <x v="37"/>
    <x v="38"/>
    <x v="27"/>
    <x v="38"/>
    <n v="2"/>
    <n v="0"/>
    <n v="2"/>
    <n v="619"/>
    <n v="346"/>
    <n v="228"/>
    <n v="213"/>
    <n v="23"/>
    <n v="2"/>
    <n v="178"/>
    <n v="0.36833602584814218"/>
    <n v="0.28756058158319869"/>
    <e v="#N/A"/>
    <e v="#N/A"/>
    <n v="3.2310177705977385E-3"/>
    <n v="0.10087719298245613"/>
    <n v="3.2206119162640902E-3"/>
    <n v="3.7156704361873988E-2"/>
    <n v="0.9967793880837359"/>
  </r>
  <r>
    <n v="42"/>
    <x v="8"/>
    <x v="38"/>
    <x v="39"/>
    <x v="28"/>
    <x v="39"/>
    <n v="18"/>
    <n v="10"/>
    <n v="8"/>
    <n v="1837"/>
    <n v="315"/>
    <n v="251"/>
    <n v="96"/>
    <n v="15"/>
    <n v="3"/>
    <n v="234"/>
    <n v="0.1366358192705498"/>
    <n v="0.12738160043549265"/>
    <e v="#N/A"/>
    <e v="#N/A"/>
    <n v="1.633097441480675E-3"/>
    <n v="5.9760956175298807E-2"/>
    <n v="9.7035040431266845E-3"/>
    <n v="8.1654872074033748E-3"/>
    <n v="0.9902964959568733"/>
  </r>
  <r>
    <n v="43"/>
    <x v="8"/>
    <x v="39"/>
    <x v="40"/>
    <x v="29"/>
    <x v="40"/>
    <n v="0"/>
    <n v="0"/>
    <n v="0"/>
    <n v="16"/>
    <n v="31"/>
    <n v="10"/>
    <n v="4"/>
    <n v="4"/>
    <n v="0"/>
    <n v="12"/>
    <n v="0.625"/>
    <n v="0.75"/>
    <e v="#N/A"/>
    <e v="#N/A"/>
    <n v="0"/>
    <n v="0.4"/>
    <n v="0"/>
    <n v="0.25"/>
    <n v="1"/>
  </r>
  <r>
    <n v="44"/>
    <x v="8"/>
    <x v="40"/>
    <x v="40"/>
    <x v="29"/>
    <x v="41"/>
    <n v="0"/>
    <n v="0"/>
    <n v="0"/>
    <n v="17"/>
    <n v="34"/>
    <n v="11"/>
    <n v="7"/>
    <n v="4"/>
    <n v="0"/>
    <n v="1"/>
    <n v="0.6470588235294118"/>
    <n v="5.8823529411764705E-2"/>
    <e v="#N/A"/>
    <e v="#N/A"/>
    <n v="0"/>
    <n v="0.36363636363636365"/>
    <n v="0"/>
    <n v="0.23529411764705882"/>
    <n v="1"/>
  </r>
  <r>
    <n v="45"/>
    <x v="8"/>
    <x v="40"/>
    <x v="41"/>
    <x v="5"/>
    <x v="42"/>
    <n v="0"/>
    <n v="0"/>
    <n v="0"/>
    <n v="97"/>
    <n v="97"/>
    <n v="62"/>
    <n v="40"/>
    <n v="35"/>
    <n v="0"/>
    <n v="56"/>
    <n v="0.63917525773195871"/>
    <n v="0.57731958762886593"/>
    <e v="#N/A"/>
    <e v="#N/A"/>
    <n v="0"/>
    <n v="0.56451612903225812"/>
    <n v="0"/>
    <n v="0.36082474226804123"/>
    <n v="1"/>
  </r>
  <r>
    <n v="46"/>
    <x v="3"/>
    <x v="41"/>
    <x v="42"/>
    <x v="30"/>
    <x v="43"/>
    <n v="48"/>
    <n v="12"/>
    <n v="36"/>
    <n v="7608"/>
    <n v="2525"/>
    <n v="1806"/>
    <n v="284"/>
    <n v="117"/>
    <n v="6"/>
    <n v="4578"/>
    <n v="0.23738170347003154"/>
    <n v="0.6017350157728707"/>
    <e v="#N/A"/>
    <e v="#N/A"/>
    <n v="7.8864353312302837E-4"/>
    <n v="6.4784053156146174E-2"/>
    <n v="6.269592476489028E-3"/>
    <n v="1.5378548895899053E-2"/>
    <n v="0.99373040752351094"/>
  </r>
  <r>
    <n v="47"/>
    <x v="9"/>
    <x v="42"/>
    <x v="43"/>
    <x v="31"/>
    <x v="44"/>
    <n v="27"/>
    <n v="3"/>
    <n v="24"/>
    <n v="859"/>
    <n v="468"/>
    <n v="252"/>
    <n v="32"/>
    <n v="22"/>
    <n v="1"/>
    <n v="343"/>
    <n v="0.29336437718277064"/>
    <n v="0.39930151338766007"/>
    <e v="#N/A"/>
    <e v="#N/A"/>
    <n v="1.1641443538998836E-3"/>
    <n v="8.7301587301587297E-2"/>
    <n v="3.0474040632054177E-2"/>
    <n v="2.5611175785797437E-2"/>
    <n v="0.96952595936794583"/>
  </r>
  <r>
    <n v="48"/>
    <x v="8"/>
    <x v="43"/>
    <x v="44"/>
    <x v="0"/>
    <x v="45"/>
    <n v="10"/>
    <n v="7"/>
    <n v="3"/>
    <n v="2744"/>
    <n v="1230"/>
    <n v="856"/>
    <n v="119"/>
    <n v="42"/>
    <n v="3"/>
    <n v="1456"/>
    <n v="0.31195335276967928"/>
    <n v="0.53061224489795922"/>
    <e v="#N/A"/>
    <e v="#N/A"/>
    <n v="1.0932944606413995E-3"/>
    <n v="4.9065420560747662E-2"/>
    <n v="3.6310820624546117E-3"/>
    <n v="1.5306122448979591E-2"/>
    <n v="0.99636891793754534"/>
  </r>
  <r>
    <n v="49"/>
    <x v="5"/>
    <x v="44"/>
    <x v="45"/>
    <x v="32"/>
    <x v="46"/>
    <n v="0"/>
    <n v="0"/>
    <n v="0"/>
    <n v="50"/>
    <n v="29"/>
    <n v="18"/>
    <n v="12"/>
    <n v="4"/>
    <n v="0"/>
    <n v="11"/>
    <n v="0.36"/>
    <n v="0.22"/>
    <e v="#N/A"/>
    <e v="#N/A"/>
    <n v="0"/>
    <n v="0.22222222222222221"/>
    <n v="0"/>
    <n v="0.08"/>
    <n v="1"/>
  </r>
  <r>
    <n v="50"/>
    <x v="5"/>
    <x v="44"/>
    <x v="45"/>
    <x v="32"/>
    <x v="47"/>
    <n v="0"/>
    <n v="0"/>
    <n v="0"/>
    <n v="51"/>
    <n v="22"/>
    <n v="18"/>
    <n v="2"/>
    <n v="2"/>
    <n v="1"/>
    <n v="1"/>
    <n v="0.35294117647058826"/>
    <n v="1.9607843137254902E-2"/>
    <e v="#N/A"/>
    <n v="1.9607843137254902E-2"/>
    <n v="1.9607843137254902E-2"/>
    <n v="0.1111111111111111"/>
    <n v="0"/>
    <n v="3.9215686274509803E-2"/>
    <n v="1"/>
  </r>
  <r>
    <n v="51"/>
    <x v="5"/>
    <x v="44"/>
    <x v="46"/>
    <x v="33"/>
    <x v="48"/>
    <n v="2"/>
    <n v="0"/>
    <n v="2"/>
    <n v="564"/>
    <n v="295"/>
    <n v="199"/>
    <n v="39"/>
    <n v="21"/>
    <n v="0"/>
    <n v="223"/>
    <n v="0.3528368794326241"/>
    <n v="0.3953900709219858"/>
    <e v="#N/A"/>
    <e v="#N/A"/>
    <n v="0"/>
    <n v="0.10552763819095477"/>
    <n v="3.5335689045936395E-3"/>
    <n v="3.7234042553191488E-2"/>
    <n v="0.99646643109540634"/>
  </r>
  <r>
    <n v="52"/>
    <x v="8"/>
    <x v="36"/>
    <x v="47"/>
    <x v="0"/>
    <x v="49"/>
    <n v="6"/>
    <n v="0"/>
    <n v="6"/>
    <n v="1168"/>
    <n v="556"/>
    <n v="378"/>
    <n v="100"/>
    <n v="40"/>
    <n v="3"/>
    <n v="456"/>
    <n v="0.32363013698630139"/>
    <n v="0.3904109589041096"/>
    <e v="#N/A"/>
    <e v="#N/A"/>
    <n v="2.5684931506849314E-3"/>
    <n v="0.10582010582010581"/>
    <n v="5.1107325383304937E-3"/>
    <n v="3.4246575342465752E-2"/>
    <n v="0.9948892674616695"/>
  </r>
  <r>
    <n v="53"/>
    <x v="10"/>
    <x v="45"/>
    <x v="48"/>
    <x v="28"/>
    <x v="50"/>
    <n v="13"/>
    <n v="1"/>
    <n v="12"/>
    <n v="148"/>
    <n v="99"/>
    <n v="55"/>
    <n v="9"/>
    <n v="8"/>
    <n v="0"/>
    <n v="105"/>
    <n v="0.3716216216216216"/>
    <n v="0.70945945945945943"/>
    <e v="#N/A"/>
    <e v="#N/A"/>
    <n v="0"/>
    <n v="0.14545454545454545"/>
    <n v="8.0745341614906832E-2"/>
    <n v="5.4054054054054057E-2"/>
    <n v="0.91925465838509313"/>
  </r>
  <r>
    <n v="54"/>
    <x v="8"/>
    <x v="46"/>
    <x v="49"/>
    <x v="26"/>
    <x v="51"/>
    <n v="5"/>
    <n v="2"/>
    <n v="3"/>
    <n v="1194"/>
    <n v="755"/>
    <n v="498"/>
    <n v="48"/>
    <n v="10"/>
    <n v="2"/>
    <n v="234"/>
    <n v="0.41708542713567837"/>
    <n v="0.19597989949748743"/>
    <e v="#N/A"/>
    <e v="#N/A"/>
    <n v="1.6750418760469012E-3"/>
    <n v="2.0080321285140562E-2"/>
    <n v="4.1701417848206837E-3"/>
    <n v="8.3752093802345051E-3"/>
    <n v="0.99582985821517933"/>
  </r>
  <r>
    <n v="55"/>
    <x v="8"/>
    <x v="47"/>
    <x v="50"/>
    <x v="0"/>
    <x v="52"/>
    <n v="1"/>
    <n v="1"/>
    <n v="0"/>
    <n v="1161"/>
    <n v="457"/>
    <n v="341"/>
    <n v="37"/>
    <n v="18"/>
    <n v="4"/>
    <n v="456"/>
    <n v="0.29371231696813094"/>
    <n v="0.39276485788113696"/>
    <e v="#N/A"/>
    <e v="#N/A"/>
    <n v="3.4453057708871662E-3"/>
    <n v="5.2785923753665691E-2"/>
    <n v="8.6058519793459555E-4"/>
    <n v="1.5503875968992248E-2"/>
    <n v="0.99913941480206536"/>
  </r>
  <r>
    <n v="56"/>
    <x v="3"/>
    <x v="48"/>
    <x v="51"/>
    <x v="34"/>
    <x v="53"/>
    <n v="16"/>
    <n v="6"/>
    <n v="10"/>
    <n v="7593"/>
    <n v="2685"/>
    <n v="1958"/>
    <n v="317"/>
    <n v="102"/>
    <n v="10"/>
    <n v="1698"/>
    <n v="0.25786908995127089"/>
    <n v="0.22362702489134728"/>
    <e v="#N/A"/>
    <e v="#N/A"/>
    <n v="1.3170025023047543E-3"/>
    <n v="5.2093973442288048E-2"/>
    <n v="2.1027730319358655E-3"/>
    <n v="1.3433425523508494E-2"/>
    <n v="0.99789722696806415"/>
  </r>
  <r>
    <n v="57"/>
    <x v="11"/>
    <x v="49"/>
    <x v="52"/>
    <x v="35"/>
    <x v="54"/>
    <n v="44"/>
    <n v="5"/>
    <n v="39"/>
    <n v="823"/>
    <n v="397"/>
    <n v="290"/>
    <n v="32"/>
    <n v="24"/>
    <n v="0"/>
    <n v="324"/>
    <n v="0.35236938031591736"/>
    <n v="0.39368165249088699"/>
    <e v="#N/A"/>
    <e v="#N/A"/>
    <n v="0"/>
    <n v="8.2758620689655171E-2"/>
    <n v="5.0749711649365627E-2"/>
    <n v="2.9161603888213851E-2"/>
    <n v="0.94925028835063441"/>
  </r>
  <r>
    <n v="58"/>
    <x v="9"/>
    <x v="50"/>
    <x v="53"/>
    <x v="36"/>
    <x v="55"/>
    <n v="11"/>
    <n v="4"/>
    <n v="7"/>
    <n v="885"/>
    <n v="359"/>
    <n v="227"/>
    <n v="75"/>
    <n v="27"/>
    <n v="2"/>
    <n v="353"/>
    <n v="0.25649717514124293"/>
    <n v="0.39887005649717516"/>
    <e v="#N/A"/>
    <e v="#N/A"/>
    <n v="2.2598870056497176E-3"/>
    <n v="0.11894273127753303"/>
    <n v="1.2276785714285714E-2"/>
    <n v="3.0508474576271188E-2"/>
    <n v="0.9877232142857143"/>
  </r>
  <r>
    <n v="59"/>
    <x v="7"/>
    <x v="51"/>
    <x v="54"/>
    <x v="29"/>
    <x v="56"/>
    <n v="23"/>
    <n v="5"/>
    <n v="18"/>
    <n v="3830"/>
    <n v="1877"/>
    <n v="1139"/>
    <n v="246"/>
    <n v="100"/>
    <n v="9"/>
    <n v="1235"/>
    <n v="0.29738903394255872"/>
    <n v="0.32245430809399478"/>
    <e v="#N/A"/>
    <e v="#N/A"/>
    <n v="2.3498694516971281E-3"/>
    <n v="8.7796312554872691E-2"/>
    <n v="5.9693745133662084E-3"/>
    <n v="2.6109660574412531E-2"/>
    <n v="0.99403062548663379"/>
  </r>
  <r>
    <n v="60"/>
    <x v="3"/>
    <x v="52"/>
    <x v="55"/>
    <x v="37"/>
    <x v="57"/>
    <n v="35"/>
    <n v="11"/>
    <n v="24"/>
    <n v="7562"/>
    <n v="2840"/>
    <n v="2004"/>
    <n v="3357"/>
    <n v="224"/>
    <n v="4"/>
    <n v="3456"/>
    <n v="0.26500925681036763"/>
    <n v="0.45702195186458611"/>
    <e v="#N/A"/>
    <e v="#N/A"/>
    <n v="5.2896059243586358E-4"/>
    <n v="0.11177644710578842"/>
    <n v="4.6070817427932079E-3"/>
    <n v="2.9621793176408357E-2"/>
    <n v="0.99539291825720677"/>
  </r>
  <r>
    <n v="61"/>
    <x v="2"/>
    <x v="53"/>
    <x v="56"/>
    <x v="38"/>
    <x v="58"/>
    <n v="0"/>
    <n v="0"/>
    <n v="0"/>
    <n v="28"/>
    <n v="271"/>
    <n v="23"/>
    <n v="46"/>
    <n v="18"/>
    <n v="0"/>
    <n v="18"/>
    <n v="0.8214285714285714"/>
    <n v="0.6428571428571429"/>
    <e v="#N/A"/>
    <e v="#N/A"/>
    <n v="0"/>
    <n v="0.78260869565217395"/>
    <n v="0"/>
    <n v="0.6428571428571429"/>
    <n v="1"/>
  </r>
  <r>
    <n v="62"/>
    <x v="12"/>
    <x v="54"/>
    <x v="57"/>
    <x v="4"/>
    <x v="59"/>
    <n v="2"/>
    <n v="1"/>
    <n v="1"/>
    <n v="871"/>
    <n v="255"/>
    <n v="179"/>
    <n v="18"/>
    <n v="10"/>
    <n v="1"/>
    <n v="330"/>
    <n v="0.20551090700344432"/>
    <n v="0.37887485648679681"/>
    <e v="#N/A"/>
    <e v="#N/A"/>
    <n v="1.148105625717566E-3"/>
    <n v="5.5865921787709494E-2"/>
    <n v="2.2909507445589921E-3"/>
    <n v="1.1481056257175661E-2"/>
    <n v="0.99770904925544102"/>
  </r>
  <r>
    <n v="63"/>
    <x v="8"/>
    <x v="55"/>
    <x v="58"/>
    <x v="39"/>
    <x v="13"/>
    <n v="0"/>
    <n v="0"/>
    <n v="0"/>
    <n v="148"/>
    <n v="72"/>
    <n v="59"/>
    <n v="13"/>
    <n v="2"/>
    <n v="0"/>
    <n v="43"/>
    <n v="0.39864864864864863"/>
    <n v="0.29054054054054052"/>
    <e v="#N/A"/>
    <e v="#N/A"/>
    <n v="0"/>
    <n v="3.3898305084745763E-2"/>
    <n v="0"/>
    <n v="1.3513513513513514E-2"/>
    <n v="1"/>
  </r>
  <r>
    <n v="64"/>
    <x v="8"/>
    <x v="56"/>
    <x v="58"/>
    <x v="39"/>
    <x v="60"/>
    <n v="0"/>
    <n v="0"/>
    <n v="0"/>
    <n v="149"/>
    <n v="88"/>
    <n v="63"/>
    <n v="3"/>
    <n v="2"/>
    <n v="1"/>
    <n v="34"/>
    <n v="0.42281879194630873"/>
    <n v="0.22818791946308725"/>
    <e v="#N/A"/>
    <e v="#N/A"/>
    <n v="6.7114093959731542E-3"/>
    <n v="3.1746031746031744E-2"/>
    <n v="0"/>
    <n v="1.3422818791946308E-2"/>
    <n v="1"/>
  </r>
  <r>
    <n v="65"/>
    <x v="8"/>
    <x v="57"/>
    <x v="59"/>
    <x v="28"/>
    <x v="11"/>
    <n v="0"/>
    <n v="0"/>
    <n v="0"/>
    <n v="143"/>
    <n v="58"/>
    <n v="44"/>
    <n v="4"/>
    <n v="4"/>
    <n v="0"/>
    <n v="17"/>
    <n v="0.30769230769230771"/>
    <n v="0.11888111888111888"/>
    <e v="#N/A"/>
    <e v="#N/A"/>
    <n v="0"/>
    <n v="9.0909090909090912E-2"/>
    <n v="0"/>
    <n v="2.7972027972027972E-2"/>
    <n v="1"/>
  </r>
  <r>
    <n v="66"/>
    <x v="8"/>
    <x v="56"/>
    <x v="59"/>
    <x v="28"/>
    <x v="61"/>
    <n v="0"/>
    <n v="0"/>
    <n v="0"/>
    <n v="144"/>
    <n v="85"/>
    <n v="44"/>
    <n v="5"/>
    <n v="3"/>
    <n v="2"/>
    <n v="54"/>
    <n v="0.30555555555555558"/>
    <n v="0.375"/>
    <e v="#N/A"/>
    <e v="#N/A"/>
    <n v="1.3888888888888888E-2"/>
    <n v="6.8181818181818177E-2"/>
    <n v="0"/>
    <n v="2.0833333333333332E-2"/>
    <n v="1"/>
  </r>
  <r>
    <n v="67"/>
    <x v="8"/>
    <x v="55"/>
    <x v="60"/>
    <x v="28"/>
    <x v="62"/>
    <n v="1"/>
    <n v="1"/>
    <n v="0"/>
    <n v="888"/>
    <n v="437"/>
    <n v="304"/>
    <n v="24"/>
    <n v="5"/>
    <n v="0"/>
    <n v="67"/>
    <n v="0.34234234234234234"/>
    <n v="7.5450450450450457E-2"/>
    <e v="#N/A"/>
    <e v="#N/A"/>
    <n v="0"/>
    <n v="1.6447368421052631E-2"/>
    <n v="1.1248593925759281E-3"/>
    <n v="5.6306306306306304E-3"/>
    <n v="0.99887514060742411"/>
  </r>
  <r>
    <n v="68"/>
    <x v="8"/>
    <x v="56"/>
    <x v="61"/>
    <x v="0"/>
    <x v="63"/>
    <n v="0"/>
    <n v="0"/>
    <n v="0"/>
    <n v="859"/>
    <n v="347"/>
    <n v="248"/>
    <n v="46"/>
    <n v="20"/>
    <n v="0"/>
    <n v="256"/>
    <n v="0.28870779976717115"/>
    <n v="0.29802095459837019"/>
    <e v="#N/A"/>
    <e v="#N/A"/>
    <n v="0"/>
    <n v="8.0645161290322578E-2"/>
    <n v="0"/>
    <n v="2.3282887077997673E-2"/>
    <n v="1"/>
  </r>
  <r>
    <n v="69"/>
    <x v="12"/>
    <x v="58"/>
    <x v="62"/>
    <x v="28"/>
    <x v="54"/>
    <n v="2"/>
    <n v="0"/>
    <n v="2"/>
    <n v="865"/>
    <n v="302"/>
    <n v="216"/>
    <n v="26"/>
    <n v="20"/>
    <n v="2"/>
    <n v="324"/>
    <n v="0.24971098265895952"/>
    <n v="0.37456647398843929"/>
    <e v="#N/A"/>
    <e v="#N/A"/>
    <n v="2.3121387283236996E-3"/>
    <n v="9.2592592592592587E-2"/>
    <n v="2.306805074971165E-3"/>
    <n v="2.3121387283236993E-2"/>
    <n v="0.99769319492502884"/>
  </r>
  <r>
    <n v="70"/>
    <x v="5"/>
    <x v="59"/>
    <x v="63"/>
    <x v="40"/>
    <x v="64"/>
    <n v="4"/>
    <n v="0"/>
    <n v="4"/>
    <n v="684"/>
    <n v="334"/>
    <n v="244"/>
    <n v="58"/>
    <n v="19"/>
    <n v="0"/>
    <n v="245"/>
    <n v="0.35672514619883039"/>
    <n v="0.358187134502924"/>
    <e v="#N/A"/>
    <e v="#N/A"/>
    <n v="0"/>
    <n v="7.7868852459016397E-2"/>
    <n v="5.8139534883720929E-3"/>
    <n v="2.7777777777777776E-2"/>
    <n v="0.9941860465116279"/>
  </r>
  <r>
    <n v="71"/>
    <x v="11"/>
    <x v="60"/>
    <x v="64"/>
    <x v="0"/>
    <x v="65"/>
    <n v="9"/>
    <n v="3"/>
    <n v="6"/>
    <n v="770"/>
    <n v="270"/>
    <n v="191"/>
    <n v="40"/>
    <n v="20"/>
    <n v="2"/>
    <n v="236"/>
    <n v="0.24805194805194805"/>
    <n v="0.30649350649350648"/>
    <e v="#N/A"/>
    <e v="#N/A"/>
    <n v="2.5974025974025974E-3"/>
    <n v="0.10471204188481675"/>
    <n v="1.1553273427471117E-2"/>
    <n v="2.5974025974025976E-2"/>
    <n v="0.98844672657252886"/>
  </r>
  <r>
    <n v="72"/>
    <x v="8"/>
    <x v="61"/>
    <x v="65"/>
    <x v="41"/>
    <x v="66"/>
    <n v="14"/>
    <n v="10"/>
    <n v="4"/>
    <n v="3776"/>
    <n v="1376"/>
    <n v="985"/>
    <n v="115"/>
    <n v="35"/>
    <n v="3"/>
    <n v="1760"/>
    <n v="0.26085805084745761"/>
    <n v="0.46610169491525422"/>
    <e v="#N/A"/>
    <e v="#N/A"/>
    <n v="7.9449152542372887E-4"/>
    <n v="3.553299492385787E-2"/>
    <n v="3.6939313984168864E-3"/>
    <n v="9.2690677966101691E-3"/>
    <n v="0.99630606860158311"/>
  </r>
  <r>
    <n v="73"/>
    <x v="3"/>
    <x v="62"/>
    <x v="66"/>
    <x v="42"/>
    <x v="67"/>
    <n v="78"/>
    <n v="23"/>
    <n v="55"/>
    <n v="9060"/>
    <n v="3002"/>
    <n v="2259"/>
    <n v="5910"/>
    <n v="1524"/>
    <n v="16"/>
    <n v="1678"/>
    <n v="0.24933774834437086"/>
    <n v="0.18520971302428257"/>
    <e v="#N/A"/>
    <e v="#N/A"/>
    <n v="1.7660044150110375E-3"/>
    <n v="0.67463479415670646"/>
    <n v="8.5357846355876565E-3"/>
    <n v="0.16821192052980133"/>
    <n v="0.99146421536441232"/>
  </r>
  <r>
    <n v="74"/>
    <x v="13"/>
    <x v="63"/>
    <x v="67"/>
    <x v="28"/>
    <x v="68"/>
    <n v="35"/>
    <n v="22"/>
    <n v="13"/>
    <n v="9589"/>
    <n v="3935"/>
    <n v="2461"/>
    <n v="2338"/>
    <n v="1650"/>
    <n v="9"/>
    <n v="2345"/>
    <n v="0.25664824277818332"/>
    <n v="0.24455104807592032"/>
    <e v="#N/A"/>
    <e v="#N/A"/>
    <n v="9.3857545103764731E-4"/>
    <n v="0.67045916294189356"/>
    <n v="3.6367414796342479E-3"/>
    <n v="0.17207216602356867"/>
    <n v="0.99636325852036578"/>
  </r>
  <r>
    <n v="75"/>
    <x v="8"/>
    <x v="64"/>
    <x v="68"/>
    <x v="43"/>
    <x v="69"/>
    <n v="2"/>
    <n v="2"/>
    <n v="0"/>
    <n v="466"/>
    <n v="160"/>
    <n v="125"/>
    <n v="31"/>
    <n v="7"/>
    <n v="0"/>
    <n v="145"/>
    <n v="0.26824034334763946"/>
    <n v="0.31115879828326182"/>
    <e v="#N/A"/>
    <e v="#N/A"/>
    <n v="0"/>
    <n v="5.6000000000000001E-2"/>
    <n v="4.2735042735042739E-3"/>
    <n v="1.5021459227467811E-2"/>
    <n v="0.99572649572649574"/>
  </r>
  <r>
    <n v="76"/>
    <x v="8"/>
    <x v="65"/>
    <x v="68"/>
    <x v="43"/>
    <x v="70"/>
    <n v="2"/>
    <n v="1"/>
    <n v="1"/>
    <n v="467"/>
    <n v="207"/>
    <n v="139"/>
    <n v="53"/>
    <n v="7"/>
    <n v="0"/>
    <n v="345"/>
    <n v="0.29764453961456105"/>
    <n v="0.73875802997858675"/>
    <e v="#N/A"/>
    <e v="#N/A"/>
    <n v="0"/>
    <n v="5.0359712230215826E-2"/>
    <n v="4.2643923240938165E-3"/>
    <n v="1.4989293361884369E-2"/>
    <n v="0.99573560767590619"/>
  </r>
  <r>
    <n v="77"/>
    <x v="8"/>
    <x v="65"/>
    <x v="69"/>
    <x v="44"/>
    <x v="71"/>
    <n v="6"/>
    <n v="5"/>
    <n v="1"/>
    <n v="2805"/>
    <n v="1135"/>
    <n v="817"/>
    <n v="107"/>
    <n v="54"/>
    <n v="5"/>
    <n v="1789"/>
    <n v="0.29126559714795008"/>
    <n v="0.63778966131907311"/>
    <e v="#N/A"/>
    <e v="#N/A"/>
    <n v="1.7825311942959001E-3"/>
    <n v="6.6095471236230108E-2"/>
    <n v="2.1344717182497333E-3"/>
    <n v="1.9251336898395723E-2"/>
    <n v="0.99786552828175024"/>
  </r>
  <r>
    <n v="78"/>
    <x v="8"/>
    <x v="66"/>
    <x v="70"/>
    <x v="45"/>
    <x v="72"/>
    <n v="0"/>
    <n v="0"/>
    <n v="0"/>
    <n v="3"/>
    <n v="1"/>
    <n v="1"/>
    <n v="0"/>
    <n v="0"/>
    <n v="0"/>
    <n v="0"/>
    <n v="0.33333333333333331"/>
    <n v="0"/>
    <e v="#N/A"/>
    <e v="#N/A"/>
    <n v="0"/>
    <n v="0"/>
    <n v="0"/>
    <n v="0"/>
    <n v="1"/>
  </r>
  <r>
    <n v="79"/>
    <x v="5"/>
    <x v="67"/>
    <x v="71"/>
    <x v="25"/>
    <x v="73"/>
    <n v="1"/>
    <n v="0"/>
    <n v="1"/>
    <n v="730"/>
    <n v="357"/>
    <n v="253"/>
    <n v="67"/>
    <n v="32"/>
    <n v="0"/>
    <n v="288"/>
    <n v="0.34657534246575344"/>
    <n v="0.39452054794520547"/>
    <e v="#N/A"/>
    <e v="#N/A"/>
    <n v="0"/>
    <n v="0.12648221343873517"/>
    <n v="1.3679890560875513E-3"/>
    <n v="4.3835616438356165E-2"/>
    <n v="0.99863201094391241"/>
  </r>
  <r>
    <n v="80"/>
    <x v="8"/>
    <x v="68"/>
    <x v="72"/>
    <x v="46"/>
    <x v="74"/>
    <n v="4"/>
    <n v="2"/>
    <n v="2"/>
    <n v="457"/>
    <n v="248"/>
    <n v="187"/>
    <n v="53"/>
    <n v="30"/>
    <n v="1"/>
    <n v="56"/>
    <n v="0.40919037199124725"/>
    <n v="0.12253829321663019"/>
    <e v="#N/A"/>
    <e v="#N/A"/>
    <n v="2.1881838074398249E-3"/>
    <n v="0.16042780748663102"/>
    <n v="8.6767895878524948E-3"/>
    <n v="6.5645514223194742E-2"/>
    <n v="0.99132321041214755"/>
  </r>
  <r>
    <n v="81"/>
    <x v="8"/>
    <x v="68"/>
    <x v="72"/>
    <x v="46"/>
    <x v="75"/>
    <n v="0"/>
    <n v="0"/>
    <n v="0"/>
    <n v="462"/>
    <n v="344"/>
    <n v="189"/>
    <n v="49"/>
    <n v="28"/>
    <n v="0"/>
    <n v="75"/>
    <n v="0.40909090909090912"/>
    <n v="0.16233766233766234"/>
    <e v="#N/A"/>
    <e v="#N/A"/>
    <n v="0"/>
    <n v="0.14814814814814814"/>
    <n v="0"/>
    <n v="6.0606060606060608E-2"/>
    <n v="1"/>
  </r>
  <r>
    <n v="82"/>
    <x v="8"/>
    <x v="68"/>
    <x v="73"/>
    <x v="47"/>
    <x v="76"/>
    <n v="11"/>
    <n v="6"/>
    <n v="5"/>
    <n v="2757"/>
    <n v="1565"/>
    <n v="1065"/>
    <n v="231"/>
    <n v="134"/>
    <n v="4"/>
    <n v="1566"/>
    <n v="0.38628944504896628"/>
    <n v="0.56800870511425461"/>
    <e v="#N/A"/>
    <e v="#N/A"/>
    <n v="1.4508523757707653E-3"/>
    <n v="0.12582159624413145"/>
    <n v="3.9739884393063581E-3"/>
    <n v="4.8603554588320635E-2"/>
    <n v="0.99602601156069359"/>
  </r>
  <r>
    <n v="83"/>
    <x v="13"/>
    <x v="69"/>
    <x v="74"/>
    <x v="48"/>
    <x v="77"/>
    <n v="108"/>
    <n v="30"/>
    <n v="78"/>
    <n v="10439"/>
    <n v="4278"/>
    <n v="2793"/>
    <n v="11209"/>
    <n v="1844"/>
    <n v="8"/>
    <n v="4568"/>
    <n v="0.2675543634447744"/>
    <n v="0.43758980745282117"/>
    <e v="#N/A"/>
    <e v="#N/A"/>
    <n v="7.6635693074049243E-4"/>
    <n v="0.66022198353025419"/>
    <n v="1.0239878638475397E-2"/>
    <n v="0.17664527253568349"/>
    <n v="0.98976012136152458"/>
  </r>
  <r>
    <n v="84"/>
    <x v="14"/>
    <x v="70"/>
    <x v="75"/>
    <x v="49"/>
    <x v="78"/>
    <n v="26"/>
    <n v="22"/>
    <n v="4"/>
    <n v="9004"/>
    <n v="3165"/>
    <n v="2309"/>
    <n v="5876"/>
    <n v="1554"/>
    <n v="8"/>
    <n v="4887"/>
    <n v="0.25644158151932472"/>
    <n v="0.54275877387827631"/>
    <e v="#N/A"/>
    <e v="#N/A"/>
    <n v="8.8849400266548197E-4"/>
    <n v="0.67301862278042446"/>
    <n v="2.8792912513842745E-3"/>
    <n v="0.17258996001776988"/>
    <n v="0.99712070874861569"/>
  </r>
  <r>
    <n v="85"/>
    <x v="10"/>
    <x v="34"/>
    <x v="76"/>
    <x v="18"/>
    <x v="79"/>
    <n v="17"/>
    <n v="12"/>
    <n v="5"/>
    <n v="4127"/>
    <n v="3432"/>
    <n v="1405"/>
    <n v="254"/>
    <n v="165"/>
    <n v="13"/>
    <n v="2501"/>
    <n v="0.34044099830385266"/>
    <n v="0.60600920765689359"/>
    <e v="#N/A"/>
    <e v="#N/A"/>
    <n v="3.1499878846619821E-3"/>
    <n v="0.11743772241992882"/>
    <n v="4.1023166023166019E-3"/>
    <n v="3.9980615459171309E-2"/>
    <n v="0.99589768339768336"/>
  </r>
  <r>
    <n v="86"/>
    <x v="12"/>
    <x v="71"/>
    <x v="77"/>
    <x v="50"/>
    <x v="80"/>
    <n v="3"/>
    <n v="1"/>
    <n v="2"/>
    <n v="213"/>
    <n v="62"/>
    <n v="44"/>
    <n v="3"/>
    <n v="3"/>
    <n v="1"/>
    <n v="73"/>
    <n v="0.20657276995305165"/>
    <n v="0.34272300469483569"/>
    <e v="#N/A"/>
    <e v="#N/A"/>
    <n v="4.6948356807511738E-3"/>
    <n v="6.8181818181818177E-2"/>
    <n v="1.3888888888888888E-2"/>
    <n v="1.4084507042253521E-2"/>
    <n v="0.98611111111111116"/>
  </r>
  <r>
    <n v="87"/>
    <x v="12"/>
    <x v="71"/>
    <x v="78"/>
    <x v="50"/>
    <x v="80"/>
    <n v="1"/>
    <n v="1"/>
    <n v="0"/>
    <n v="215"/>
    <n v="77"/>
    <n v="56"/>
    <n v="79"/>
    <n v="23"/>
    <n v="0"/>
    <n v="73"/>
    <n v="0.26046511627906976"/>
    <n v="0.33953488372093021"/>
    <e v="#N/A"/>
    <e v="#N/A"/>
    <n v="0"/>
    <n v="0.4107142857142857"/>
    <n v="4.6296296296296294E-3"/>
    <n v="0.10697674418604651"/>
    <n v="0.99537037037037035"/>
  </r>
  <r>
    <n v="88"/>
    <x v="11"/>
    <x v="72"/>
    <x v="79"/>
    <x v="51"/>
    <x v="81"/>
    <n v="95"/>
    <n v="6"/>
    <n v="89"/>
    <n v="2041"/>
    <n v="640"/>
    <n v="383"/>
    <n v="45"/>
    <n v="32"/>
    <n v="7"/>
    <n v="1493"/>
    <n v="0.1876531112199902"/>
    <n v="0.73150416462518375"/>
    <e v="#N/A"/>
    <e v="#N/A"/>
    <n v="3.4296913277804997E-3"/>
    <n v="8.3550913838120106E-2"/>
    <n v="4.4475655430711608E-2"/>
    <n v="1.567858892699657E-2"/>
    <n v="0.95552434456928836"/>
  </r>
  <r>
    <n v="89"/>
    <x v="8"/>
    <x v="73"/>
    <x v="80"/>
    <x v="52"/>
    <x v="82"/>
    <n v="15"/>
    <n v="9"/>
    <n v="6"/>
    <n v="3279"/>
    <n v="1519"/>
    <n v="1104"/>
    <n v="174"/>
    <n v="124"/>
    <n v="8"/>
    <n v="2345"/>
    <n v="0.33668801463860931"/>
    <n v="0.71515706007929247"/>
    <e v="#N/A"/>
    <e v="#N/A"/>
    <n v="2.4397682220189082E-3"/>
    <n v="0.11231884057971014"/>
    <n v="4.5537340619307837E-3"/>
    <n v="3.7816407441293075E-2"/>
    <n v="0.99544626593806917"/>
  </r>
  <r>
    <n v="90"/>
    <x v="12"/>
    <x v="71"/>
    <x v="81"/>
    <x v="53"/>
    <x v="83"/>
    <n v="6"/>
    <n v="3"/>
    <n v="3"/>
    <n v="424"/>
    <n v="153"/>
    <n v="103"/>
    <n v="205"/>
    <n v="50"/>
    <n v="0"/>
    <n v="87"/>
    <n v="0.24292452830188679"/>
    <n v="0.20518867924528303"/>
    <e v="#N/A"/>
    <e v="#N/A"/>
    <n v="0"/>
    <n v="0.4854368932038835"/>
    <n v="1.3953488372093023E-2"/>
    <n v="0.11792452830188679"/>
    <n v="0.98604651162790702"/>
  </r>
  <r>
    <n v="91"/>
    <x v="13"/>
    <x v="74"/>
    <x v="82"/>
    <x v="54"/>
    <x v="84"/>
    <n v="42"/>
    <n v="24"/>
    <n v="18"/>
    <n v="10357"/>
    <n v="3791"/>
    <n v="2654"/>
    <n v="2420"/>
    <n v="1708"/>
    <n v="4"/>
    <n v="3467"/>
    <n v="0.25625181036979822"/>
    <n v="0.33474944481992858"/>
    <e v="#N/A"/>
    <e v="#N/A"/>
    <n v="3.8621222361687749E-4"/>
    <n v="0.64355689525244908"/>
    <n v="4.0388498894124436E-3"/>
    <n v="0.16491261948440669"/>
    <n v="0.99596115011058761"/>
  </r>
  <r>
    <n v="92"/>
    <x v="12"/>
    <x v="75"/>
    <x v="83"/>
    <x v="55"/>
    <x v="85"/>
    <n v="5"/>
    <n v="4"/>
    <n v="1"/>
    <n v="850"/>
    <n v="258"/>
    <n v="174"/>
    <n v="302"/>
    <n v="82"/>
    <n v="0"/>
    <n v="312"/>
    <n v="0.20470588235294118"/>
    <n v="0.36705882352941177"/>
    <e v="#N/A"/>
    <e v="#N/A"/>
    <n v="0"/>
    <n v="0.47126436781609193"/>
    <n v="5.8479532163742687E-3"/>
    <n v="9.6470588235294114E-2"/>
    <n v="0.99415204678362568"/>
  </r>
  <r>
    <n v="93"/>
    <x v="8"/>
    <x v="76"/>
    <x v="84"/>
    <x v="56"/>
    <x v="86"/>
    <n v="0"/>
    <n v="0"/>
    <n v="0"/>
    <n v="7"/>
    <n v="6"/>
    <n v="4"/>
    <n v="4"/>
    <n v="2"/>
    <n v="0"/>
    <n v="0"/>
    <n v="0.5714285714285714"/>
    <n v="0"/>
    <e v="#N/A"/>
    <e v="#N/A"/>
    <n v="0"/>
    <n v="0.5"/>
    <n v="0"/>
    <n v="0.2857142857142857"/>
    <n v="1"/>
  </r>
  <r>
    <n v="94"/>
    <x v="8"/>
    <x v="76"/>
    <x v="85"/>
    <x v="57"/>
    <x v="36"/>
    <n v="0"/>
    <n v="0"/>
    <n v="0"/>
    <n v="9"/>
    <n v="10"/>
    <n v="5"/>
    <n v="4"/>
    <n v="3"/>
    <n v="0"/>
    <n v="0"/>
    <n v="0.55555555555555558"/>
    <n v="0"/>
    <e v="#N/A"/>
    <e v="#N/A"/>
    <n v="0"/>
    <n v="0.6"/>
    <n v="0"/>
    <n v="0.33333333333333331"/>
    <n v="1"/>
  </r>
  <r>
    <n v="95"/>
    <x v="8"/>
    <x v="76"/>
    <x v="86"/>
    <x v="58"/>
    <x v="41"/>
    <n v="0"/>
    <n v="0"/>
    <n v="0"/>
    <n v="17"/>
    <n v="14"/>
    <n v="11"/>
    <n v="2"/>
    <n v="2"/>
    <n v="0"/>
    <n v="5"/>
    <n v="0.6470588235294118"/>
    <n v="0.29411764705882354"/>
    <e v="#N/A"/>
    <e v="#N/A"/>
    <n v="0"/>
    <n v="0.18181818181818182"/>
    <n v="0"/>
    <n v="0.11764705882352941"/>
    <n v="1"/>
  </r>
  <r>
    <n v="96"/>
    <x v="8"/>
    <x v="77"/>
    <x v="87"/>
    <x v="59"/>
    <x v="87"/>
    <n v="4"/>
    <n v="3"/>
    <n v="1"/>
    <n v="530"/>
    <n v="668"/>
    <n v="131"/>
    <n v="12"/>
    <n v="10"/>
    <n v="2"/>
    <n v="234"/>
    <n v="0.24716981132075472"/>
    <n v="0.44150943396226416"/>
    <e v="#N/A"/>
    <e v="#N/A"/>
    <n v="3.7735849056603774E-3"/>
    <n v="7.6335877862595422E-2"/>
    <n v="7.4906367041198503E-3"/>
    <n v="1.8867924528301886E-2"/>
    <n v="0.99250936329588013"/>
  </r>
  <r>
    <n v="97"/>
    <x v="14"/>
    <x v="78"/>
    <x v="88"/>
    <x v="24"/>
    <x v="88"/>
    <n v="39"/>
    <n v="19"/>
    <n v="20"/>
    <n v="8986"/>
    <n v="3068"/>
    <n v="2213"/>
    <n v="6052"/>
    <n v="1531"/>
    <n v="14"/>
    <n v="4882"/>
    <n v="0.24627197863342978"/>
    <n v="0.5432895615401736"/>
    <e v="#N/A"/>
    <e v="#N/A"/>
    <n v="1.5579790785666592E-3"/>
    <n v="0.69182105738816091"/>
    <n v="4.3213296398891968E-3"/>
    <n v="0.17037614066325396"/>
    <n v="0.99567867036011082"/>
  </r>
  <r>
    <n v="98"/>
    <x v="12"/>
    <x v="79"/>
    <x v="89"/>
    <x v="4"/>
    <x v="89"/>
    <n v="6"/>
    <n v="5"/>
    <n v="1"/>
    <n v="864"/>
    <n v="281"/>
    <n v="212"/>
    <n v="340"/>
    <n v="99"/>
    <n v="3"/>
    <n v="327"/>
    <n v="0.24537037037037038"/>
    <n v="0.37847222222222221"/>
    <e v="#N/A"/>
    <e v="#N/A"/>
    <n v="3.472222222222222E-3"/>
    <n v="0.46698113207547171"/>
    <n v="6.8965517241379309E-3"/>
    <n v="0.11458333333333333"/>
    <n v="0.99310344827586206"/>
  </r>
  <r>
    <n v="99"/>
    <x v="8"/>
    <x v="80"/>
    <x v="90"/>
    <x v="60"/>
    <x v="90"/>
    <n v="5"/>
    <n v="5"/>
    <n v="0"/>
    <n v="3456"/>
    <n v="1342"/>
    <n v="953"/>
    <n v="185"/>
    <n v="66"/>
    <n v="3"/>
    <n v="2189"/>
    <n v="0.27575231481481483"/>
    <n v="0.63339120370370372"/>
    <e v="#N/A"/>
    <e v="#N/A"/>
    <n v="8.6805555555555551E-4"/>
    <n v="6.9254984260230856E-2"/>
    <n v="1.444669170759896E-3"/>
    <n v="1.9097222222222224E-2"/>
    <n v="0.99855533082924008"/>
  </r>
  <r>
    <n v="100"/>
    <x v="15"/>
    <x v="81"/>
    <x v="91"/>
    <x v="56"/>
    <x v="91"/>
    <n v="3"/>
    <n v="3"/>
    <n v="0"/>
    <n v="526"/>
    <n v="473"/>
    <n v="116"/>
    <n v="0"/>
    <n v="0"/>
    <n v="1"/>
    <n v="345"/>
    <n v="0.22053231939163498"/>
    <n v="0.655893536121673"/>
    <e v="#N/A"/>
    <e v="#N/A"/>
    <n v="1.9011406844106464E-3"/>
    <n v="0"/>
    <n v="5.6710775047258983E-3"/>
    <n v="0"/>
    <n v="0.99432892249527405"/>
  </r>
  <r>
    <n v="101"/>
    <x v="8"/>
    <x v="82"/>
    <x v="92"/>
    <x v="61"/>
    <x v="92"/>
    <n v="0"/>
    <n v="0"/>
    <n v="0"/>
    <n v="244"/>
    <n v="148"/>
    <n v="88"/>
    <n v="14"/>
    <n v="10"/>
    <n v="0"/>
    <n v="123"/>
    <n v="0.36065573770491804"/>
    <n v="0.50409836065573765"/>
    <e v="#N/A"/>
    <e v="#N/A"/>
    <n v="0"/>
    <n v="0.11363636363636363"/>
    <n v="0"/>
    <n v="4.0983606557377046E-2"/>
    <n v="1"/>
  </r>
  <r>
    <n v="102"/>
    <x v="12"/>
    <x v="83"/>
    <x v="93"/>
    <x v="26"/>
    <x v="93"/>
    <n v="3"/>
    <n v="3"/>
    <n v="0"/>
    <n v="863"/>
    <n v="203"/>
    <n v="163"/>
    <n v="296"/>
    <n v="85"/>
    <n v="0"/>
    <n v="323"/>
    <n v="0.18887601390498263"/>
    <n v="0.3742757821552723"/>
    <e v="#N/A"/>
    <e v="#N/A"/>
    <n v="0"/>
    <n v="0.5214723926380368"/>
    <n v="3.4642032332563512E-3"/>
    <n v="9.8493626882966395E-2"/>
    <n v="0.99653579676674364"/>
  </r>
  <r>
    <n v="103"/>
    <x v="8"/>
    <x v="84"/>
    <x v="94"/>
    <x v="62"/>
    <x v="94"/>
    <n v="14"/>
    <n v="2"/>
    <n v="12"/>
    <n v="3433"/>
    <n v="1772"/>
    <n v="1113"/>
    <n v="142"/>
    <n v="106"/>
    <n v="16"/>
    <n v="1234"/>
    <n v="0.32420623361491407"/>
    <n v="0.35945237401689484"/>
    <e v="#N/A"/>
    <e v="#N/A"/>
    <n v="4.6606466647247302E-3"/>
    <n v="9.5238095238095233E-2"/>
    <n v="4.0615027560197275E-3"/>
    <n v="3.0876784153801341E-2"/>
    <n v="0.99593849724398031"/>
  </r>
  <r>
    <n v="104"/>
    <x v="8"/>
    <x v="85"/>
    <x v="95"/>
    <x v="63"/>
    <x v="40"/>
    <n v="1"/>
    <n v="0"/>
    <n v="1"/>
    <n v="15"/>
    <n v="110"/>
    <n v="14"/>
    <n v="9"/>
    <n v="6"/>
    <n v="0"/>
    <n v="2"/>
    <n v="0.93333333333333335"/>
    <n v="0.13333333333333333"/>
    <e v="#N/A"/>
    <e v="#N/A"/>
    <n v="0"/>
    <n v="0.42857142857142855"/>
    <n v="6.25E-2"/>
    <n v="0.4"/>
    <n v="0.9375"/>
  </r>
  <r>
    <n v="105"/>
    <x v="8"/>
    <x v="86"/>
    <x v="96"/>
    <x v="64"/>
    <x v="95"/>
    <n v="0"/>
    <n v="0"/>
    <n v="0"/>
    <n v="243"/>
    <n v="118"/>
    <n v="86"/>
    <n v="10"/>
    <n v="6"/>
    <n v="0"/>
    <n v="178"/>
    <n v="0.35390946502057613"/>
    <n v="0.73251028806584362"/>
    <e v="#N/A"/>
    <e v="#N/A"/>
    <n v="0"/>
    <n v="6.9767441860465115E-2"/>
    <n v="0"/>
    <n v="2.4691358024691357E-2"/>
    <n v="1"/>
  </r>
  <r>
    <n v="106"/>
    <x v="14"/>
    <x v="87"/>
    <x v="97"/>
    <x v="65"/>
    <x v="96"/>
    <n v="87"/>
    <n v="24"/>
    <n v="63"/>
    <n v="9698"/>
    <n v="3031"/>
    <n v="2186"/>
    <n v="6082"/>
    <n v="1564"/>
    <n v="10"/>
    <n v="3456"/>
    <n v="0.22540730047432461"/>
    <n v="0.35636213652299442"/>
    <e v="#N/A"/>
    <e v="#N/A"/>
    <n v="1.0311404413281089E-3"/>
    <n v="0.71546203110704487"/>
    <n v="8.8911599386816559E-3"/>
    <n v="0.16127036502371622"/>
    <n v="0.99110884006131839"/>
  </r>
  <r>
    <n v="107"/>
    <x v="15"/>
    <x v="88"/>
    <x v="98"/>
    <x v="66"/>
    <x v="97"/>
    <n v="28"/>
    <n v="12"/>
    <n v="16"/>
    <n v="706"/>
    <n v="400"/>
    <n v="140"/>
    <n v="12"/>
    <n v="10"/>
    <n v="5"/>
    <n v="234"/>
    <n v="0.19830028328611898"/>
    <n v="0.33144475920679889"/>
    <e v="#N/A"/>
    <e v="#N/A"/>
    <n v="7.0821529745042494E-3"/>
    <n v="7.1428571428571425E-2"/>
    <n v="3.8147138964577658E-2"/>
    <n v="1.4164305949008499E-2"/>
    <n v="0.96185286103542234"/>
  </r>
  <r>
    <n v="108"/>
    <x v="8"/>
    <x v="89"/>
    <x v="99"/>
    <x v="67"/>
    <x v="98"/>
    <n v="5"/>
    <n v="2"/>
    <n v="3"/>
    <n v="762"/>
    <n v="270"/>
    <n v="208"/>
    <n v="28"/>
    <n v="20"/>
    <n v="0"/>
    <n v="456"/>
    <n v="0.27296587926509186"/>
    <n v="0.59842519685039375"/>
    <e v="#N/A"/>
    <e v="#N/A"/>
    <n v="0"/>
    <n v="9.6153846153846159E-2"/>
    <n v="6.51890482398957E-3"/>
    <n v="2.6246719160104987E-2"/>
    <n v="0.99348109517601046"/>
  </r>
  <r>
    <n v="109"/>
    <x v="8"/>
    <x v="90"/>
    <x v="99"/>
    <x v="67"/>
    <x v="98"/>
    <n v="3"/>
    <n v="1"/>
    <n v="2"/>
    <n v="764"/>
    <n v="295"/>
    <n v="233"/>
    <n v="15"/>
    <n v="9"/>
    <n v="0"/>
    <n v="456"/>
    <n v="0.30497382198952877"/>
    <n v="0.59685863874345546"/>
    <e v="#N/A"/>
    <e v="#N/A"/>
    <n v="0"/>
    <n v="3.8626609442060089E-2"/>
    <n v="3.9113428943937422E-3"/>
    <n v="1.1780104712041885E-2"/>
    <n v="0.99608865710560623"/>
  </r>
  <r>
    <n v="110"/>
    <x v="8"/>
    <x v="90"/>
    <x v="100"/>
    <x v="68"/>
    <x v="99"/>
    <n v="19"/>
    <n v="13"/>
    <n v="6"/>
    <n v="4582"/>
    <n v="1629"/>
    <n v="1190"/>
    <n v="111"/>
    <n v="72"/>
    <n v="12"/>
    <n v="1134"/>
    <n v="0.25971191619380185"/>
    <n v="0.24749017896115233"/>
    <e v="#N/A"/>
    <e v="#N/A"/>
    <n v="2.6189436927106066E-3"/>
    <n v="6.0504201680672269E-2"/>
    <n v="4.1295370571614864E-3"/>
    <n v="1.5713662156263641E-2"/>
    <n v="0.99587046294283854"/>
  </r>
  <r>
    <n v="111"/>
    <x v="8"/>
    <x v="91"/>
    <x v="101"/>
    <x v="69"/>
    <x v="95"/>
    <n v="0"/>
    <n v="0"/>
    <n v="0"/>
    <n v="243"/>
    <n v="135"/>
    <n v="83"/>
    <n v="10"/>
    <n v="6"/>
    <n v="0"/>
    <n v="98"/>
    <n v="0.34156378600823045"/>
    <n v="0.40329218106995884"/>
    <e v="#N/A"/>
    <e v="#N/A"/>
    <n v="0"/>
    <n v="7.2289156626506021E-2"/>
    <n v="0"/>
    <n v="2.4691358024691357E-2"/>
    <n v="1"/>
  </r>
  <r>
    <n v="112"/>
    <x v="5"/>
    <x v="67"/>
    <x v="102"/>
    <x v="70"/>
    <x v="100"/>
    <n v="1"/>
    <n v="0"/>
    <n v="1"/>
    <n v="739"/>
    <n v="347"/>
    <n v="230"/>
    <n v="33"/>
    <n v="16"/>
    <n v="3"/>
    <n v="297"/>
    <n v="0.31123139377537212"/>
    <n v="0.40189445196211099"/>
    <e v="#N/A"/>
    <e v="#N/A"/>
    <n v="4.0595399188092015E-3"/>
    <n v="6.9565217391304349E-2"/>
    <n v="1.3513513513513514E-3"/>
    <n v="2.165087956698241E-2"/>
    <n v="0.99864864864864866"/>
  </r>
  <r>
    <n v="113"/>
    <x v="15"/>
    <x v="92"/>
    <x v="103"/>
    <x v="71"/>
    <x v="80"/>
    <n v="0"/>
    <n v="0"/>
    <n v="0"/>
    <n v="216"/>
    <n v="202"/>
    <n v="98"/>
    <n v="159"/>
    <n v="48"/>
    <n v="0"/>
    <n v="197"/>
    <n v="0.45370370370370372"/>
    <n v="0.91203703703703709"/>
    <e v="#N/A"/>
    <e v="#N/A"/>
    <n v="0"/>
    <n v="0.48979591836734693"/>
    <n v="0"/>
    <n v="0.22222222222222221"/>
    <n v="1"/>
  </r>
  <r>
    <n v="114"/>
    <x v="15"/>
    <x v="93"/>
    <x v="104"/>
    <x v="28"/>
    <x v="101"/>
    <n v="4"/>
    <n v="2"/>
    <n v="2"/>
    <n v="724"/>
    <n v="269"/>
    <n v="130"/>
    <n v="16"/>
    <n v="11"/>
    <n v="0"/>
    <n v="345"/>
    <n v="0.17955801104972377"/>
    <n v="0.47651933701657456"/>
    <e v="#N/A"/>
    <e v="#N/A"/>
    <n v="0"/>
    <n v="8.461538461538462E-2"/>
    <n v="5.4945054945054949E-3"/>
    <n v="1.5193370165745856E-2"/>
    <n v="0.99450549450549453"/>
  </r>
  <r>
    <n v="115"/>
    <x v="13"/>
    <x v="94"/>
    <x v="105"/>
    <x v="72"/>
    <x v="102"/>
    <n v="46"/>
    <n v="29"/>
    <n v="17"/>
    <n v="10199"/>
    <n v="4524"/>
    <n v="2887"/>
    <n v="578"/>
    <n v="327"/>
    <n v="23"/>
    <n v="5678"/>
    <n v="0.28306696734974018"/>
    <n v="0.55672124718109617"/>
    <e v="#N/A"/>
    <e v="#N/A"/>
    <n v="2.2551230512795374E-3"/>
    <n v="0.11326636647038449"/>
    <n v="4.489995119570522E-3"/>
    <n v="3.2061966859496027E-2"/>
    <n v="0.99551000488042951"/>
  </r>
  <r>
    <n v="116"/>
    <x v="8"/>
    <x v="95"/>
    <x v="106"/>
    <x v="73"/>
    <x v="103"/>
    <n v="1"/>
    <n v="1"/>
    <n v="0"/>
    <n v="517"/>
    <n v="198"/>
    <n v="154"/>
    <n v="740"/>
    <n v="100"/>
    <n v="0"/>
    <n v="373"/>
    <n v="0.2978723404255319"/>
    <n v="0.72147001934235977"/>
    <e v="#N/A"/>
    <e v="#N/A"/>
    <n v="0"/>
    <n v="0.64935064935064934"/>
    <n v="1.9305019305019305E-3"/>
    <n v="0.19342359767891681"/>
    <n v="0.99806949806949807"/>
  </r>
  <r>
    <n v="117"/>
    <x v="8"/>
    <x v="96"/>
    <x v="106"/>
    <x v="73"/>
    <x v="104"/>
    <n v="2"/>
    <n v="1"/>
    <n v="1"/>
    <n v="517"/>
    <n v="193"/>
    <n v="137"/>
    <n v="686"/>
    <n v="78"/>
    <n v="0"/>
    <n v="374"/>
    <n v="0.26499032882011603"/>
    <n v="0.72340425531914898"/>
    <e v="#N/A"/>
    <e v="#N/A"/>
    <n v="0"/>
    <n v="0.56934306569343063"/>
    <n v="3.8535645472061657E-3"/>
    <n v="0.15087040618955513"/>
    <n v="0.9961464354527938"/>
  </r>
  <r>
    <n v="118"/>
    <x v="8"/>
    <x v="97"/>
    <x v="107"/>
    <x v="67"/>
    <x v="105"/>
    <n v="1"/>
    <n v="1"/>
    <n v="0"/>
    <n v="295"/>
    <n v="539"/>
    <n v="185"/>
    <n v="187"/>
    <n v="118"/>
    <n v="0"/>
    <n v="151"/>
    <n v="0.6271186440677966"/>
    <n v="0.51186440677966105"/>
    <e v="#N/A"/>
    <e v="#N/A"/>
    <n v="0"/>
    <n v="0.63783783783783787"/>
    <n v="3.3783783783783786E-3"/>
    <n v="0.4"/>
    <n v="0.9966216216216216"/>
  </r>
  <r>
    <n v="119"/>
    <x v="8"/>
    <x v="95"/>
    <x v="108"/>
    <x v="52"/>
    <x v="106"/>
    <n v="28"/>
    <n v="18"/>
    <n v="10"/>
    <n v="5033"/>
    <n v="1653"/>
    <n v="1239"/>
    <n v="6815"/>
    <n v="849"/>
    <n v="10"/>
    <n v="1678"/>
    <n v="0.24617524339360222"/>
    <n v="0.33339956288495926"/>
    <e v="#N/A"/>
    <e v="#N/A"/>
    <n v="1.9868865487780649E-3"/>
    <n v="0.68523002421307511"/>
    <n v="5.5325034578146614E-3"/>
    <n v="0.1686866679912577"/>
    <n v="0.99446749654218536"/>
  </r>
  <r>
    <n v="120"/>
    <x v="15"/>
    <x v="98"/>
    <x v="109"/>
    <x v="39"/>
    <x v="107"/>
    <n v="20"/>
    <n v="13"/>
    <n v="7"/>
    <n v="645"/>
    <n v="352"/>
    <n v="88"/>
    <n v="35"/>
    <n v="18"/>
    <n v="2"/>
    <n v="76"/>
    <n v="0.13643410852713178"/>
    <n v="0.11782945736434108"/>
    <e v="#N/A"/>
    <e v="#N/A"/>
    <n v="3.1007751937984496E-3"/>
    <n v="0.20454545454545456"/>
    <n v="3.007518796992481E-2"/>
    <n v="2.7906976744186046E-2"/>
    <n v="0.96992481203007519"/>
  </r>
  <r>
    <n v="121"/>
    <x v="14"/>
    <x v="99"/>
    <x v="110"/>
    <x v="74"/>
    <x v="108"/>
    <n v="14"/>
    <n v="13"/>
    <n v="1"/>
    <n v="2451"/>
    <n v="803"/>
    <n v="608"/>
    <n v="1466"/>
    <n v="403"/>
    <n v="2"/>
    <n v="822"/>
    <n v="0.24806201550387597"/>
    <n v="0.3353733170134639"/>
    <e v="#N/A"/>
    <e v="#N/A"/>
    <n v="8.1599347205222358E-4"/>
    <n v="0.66282894736842102"/>
    <n v="5.6795131845841784E-3"/>
    <n v="0.16442268461852305"/>
    <n v="0.99432048681541585"/>
  </r>
  <r>
    <n v="122"/>
    <x v="14"/>
    <x v="100"/>
    <x v="111"/>
    <x v="74"/>
    <x v="109"/>
    <n v="14"/>
    <n v="9"/>
    <n v="5"/>
    <n v="2450"/>
    <n v="702"/>
    <n v="537"/>
    <n v="1321"/>
    <n v="357"/>
    <n v="1"/>
    <n v="821"/>
    <n v="0.21918367346938775"/>
    <n v="0.33510204081632655"/>
    <e v="#N/A"/>
    <e v="#N/A"/>
    <n v="4.0816326530612246E-4"/>
    <n v="0.66480446927374304"/>
    <n v="5.681818181818182E-3"/>
    <n v="0.14571428571428571"/>
    <n v="0.99431818181818177"/>
  </r>
  <r>
    <n v="123"/>
    <x v="15"/>
    <x v="101"/>
    <x v="112"/>
    <x v="29"/>
    <x v="110"/>
    <n v="13"/>
    <n v="13"/>
    <n v="0"/>
    <n v="760"/>
    <n v="357"/>
    <n v="191"/>
    <n v="36"/>
    <n v="32"/>
    <n v="0"/>
    <n v="346"/>
    <n v="0.25131578947368421"/>
    <n v="0.45526315789473687"/>
    <e v="#N/A"/>
    <e v="#N/A"/>
    <n v="0"/>
    <n v="0.16753926701570682"/>
    <n v="1.6817593790426907E-2"/>
    <n v="4.2105263157894736E-2"/>
    <n v="0.98318240620957309"/>
  </r>
  <r>
    <n v="124"/>
    <x v="13"/>
    <x v="102"/>
    <x v="113"/>
    <x v="5"/>
    <x v="111"/>
    <n v="6"/>
    <n v="5"/>
    <n v="1"/>
    <n v="1730"/>
    <n v="958"/>
    <n v="650"/>
    <n v="59"/>
    <n v="45"/>
    <n v="0"/>
    <n v="1093"/>
    <n v="0.37572254335260113"/>
    <n v="0.63179190751445091"/>
    <e v="#N/A"/>
    <e v="#N/A"/>
    <n v="0"/>
    <n v="6.9230769230769235E-2"/>
    <n v="3.4562211981566822E-3"/>
    <n v="2.6011560693641619E-2"/>
    <n v="0.99654377880184331"/>
  </r>
  <r>
    <n v="125"/>
    <x v="13"/>
    <x v="103"/>
    <x v="114"/>
    <x v="0"/>
    <x v="112"/>
    <n v="32"/>
    <n v="26"/>
    <n v="6"/>
    <n v="8380"/>
    <n v="4340"/>
    <n v="2234"/>
    <n v="364"/>
    <n v="223"/>
    <n v="16"/>
    <n v="4269"/>
    <n v="0.26658711217183773"/>
    <n v="0.50942720763723148"/>
    <e v="#N/A"/>
    <e v="#N/A"/>
    <n v="1.9093078758949881E-3"/>
    <n v="9.9820948970456583E-2"/>
    <n v="3.8040893961008085E-3"/>
    <n v="2.6610978520286398E-2"/>
    <n v="0.99619591060389923"/>
  </r>
  <r>
    <n v="126"/>
    <x v="14"/>
    <x v="99"/>
    <x v="115"/>
    <x v="18"/>
    <x v="113"/>
    <n v="24"/>
    <n v="21"/>
    <n v="3"/>
    <n v="4909"/>
    <n v="2312"/>
    <n v="1565"/>
    <n v="4532"/>
    <n v="1037"/>
    <n v="9"/>
    <n v="2790"/>
    <n v="0.3188022000407415"/>
    <n v="0.56834385821959665"/>
    <e v="#N/A"/>
    <e v="#N/A"/>
    <n v="1.8333672845793441E-3"/>
    <n v="0.6626198083067093"/>
    <n v="4.8651935941617678E-3"/>
    <n v="0.21124465267875331"/>
    <n v="0.99513480640583818"/>
  </r>
  <r>
    <n v="127"/>
    <x v="11"/>
    <x v="104"/>
    <x v="116"/>
    <x v="75"/>
    <x v="114"/>
    <n v="7"/>
    <n v="3"/>
    <n v="4"/>
    <n v="547"/>
    <n v="260"/>
    <n v="92"/>
    <n v="18"/>
    <n v="5"/>
    <n v="1"/>
    <n v="211"/>
    <n v="0.16819012797074953"/>
    <n v="0.3857404021937843"/>
    <e v="#N/A"/>
    <e v="#N/A"/>
    <n v="1.8281535648994515E-3"/>
    <n v="5.434782608695652E-2"/>
    <n v="1.263537906137184E-2"/>
    <n v="9.140767824497258E-3"/>
    <n v="0.9873646209386282"/>
  </r>
  <r>
    <n v="128"/>
    <x v="11"/>
    <x v="105"/>
    <x v="116"/>
    <x v="75"/>
    <x v="115"/>
    <n v="7"/>
    <n v="4"/>
    <n v="3"/>
    <n v="548"/>
    <n v="255"/>
    <n v="101"/>
    <n v="8"/>
    <n v="5"/>
    <n v="1"/>
    <n v="212"/>
    <n v="0.18430656934306569"/>
    <n v="0.38686131386861317"/>
    <e v="#N/A"/>
    <e v="#N/A"/>
    <n v="1.8248175182481751E-3"/>
    <n v="4.9504950495049507E-2"/>
    <n v="1.2612612612612612E-2"/>
    <n v="9.1240875912408752E-3"/>
    <n v="0.98738738738738741"/>
  </r>
  <r>
    <n v="129"/>
    <x v="8"/>
    <x v="106"/>
    <x v="117"/>
    <x v="76"/>
    <x v="116"/>
    <n v="0"/>
    <n v="0"/>
    <n v="0"/>
    <n v="29"/>
    <n v="29"/>
    <n v="13"/>
    <n v="8"/>
    <n v="6"/>
    <n v="0"/>
    <n v="1"/>
    <n v="0.44827586206896552"/>
    <n v="3.4482758620689655E-2"/>
    <e v="#N/A"/>
    <e v="#N/A"/>
    <n v="0"/>
    <n v="0.46153846153846156"/>
    <n v="0"/>
    <n v="0.20689655172413793"/>
    <n v="1"/>
  </r>
  <r>
    <n v="130"/>
    <x v="8"/>
    <x v="107"/>
    <x v="117"/>
    <x v="76"/>
    <x v="116"/>
    <n v="0"/>
    <n v="0"/>
    <n v="0"/>
    <n v="29"/>
    <n v="30"/>
    <n v="12"/>
    <n v="8"/>
    <n v="5"/>
    <n v="0"/>
    <n v="1"/>
    <n v="0.41379310344827586"/>
    <n v="3.4482758620689655E-2"/>
    <e v="#N/A"/>
    <e v="#N/A"/>
    <n v="0"/>
    <n v="0.41666666666666669"/>
    <n v="0"/>
    <n v="0.17241379310344829"/>
    <n v="1"/>
  </r>
  <r>
    <n v="131"/>
    <x v="8"/>
    <x v="107"/>
    <x v="118"/>
    <x v="77"/>
    <x v="117"/>
    <n v="0"/>
    <n v="0"/>
    <n v="0"/>
    <n v="173"/>
    <n v="173"/>
    <n v="86"/>
    <n v="43"/>
    <n v="27"/>
    <n v="1"/>
    <n v="67"/>
    <n v="0.49710982658959535"/>
    <n v="0.38728323699421963"/>
    <e v="#N/A"/>
    <e v="#N/A"/>
    <n v="5.7803468208092483E-3"/>
    <n v="0.31395348837209303"/>
    <n v="0"/>
    <n v="0.15606936416184972"/>
    <n v="1"/>
  </r>
  <r>
    <n v="132"/>
    <x v="2"/>
    <x v="108"/>
    <x v="119"/>
    <x v="78"/>
    <x v="118"/>
    <n v="0"/>
    <n v="0"/>
    <n v="0"/>
    <n v="52"/>
    <n v="161"/>
    <n v="27"/>
    <n v="18"/>
    <n v="13"/>
    <n v="0"/>
    <n v="42"/>
    <n v="0.51923076923076927"/>
    <n v="0.80769230769230771"/>
    <e v="#N/A"/>
    <e v="#N/A"/>
    <n v="0"/>
    <n v="0.48148148148148145"/>
    <n v="0"/>
    <n v="0.25"/>
    <n v="1"/>
  </r>
  <r>
    <n v="133"/>
    <x v="11"/>
    <x v="105"/>
    <x v="120"/>
    <x v="75"/>
    <x v="119"/>
    <n v="6"/>
    <n v="4"/>
    <n v="2"/>
    <n v="1103"/>
    <n v="376"/>
    <n v="192"/>
    <n v="43"/>
    <n v="20"/>
    <n v="1"/>
    <n v="466"/>
    <n v="0.17407071622846781"/>
    <n v="0.42248413417951042"/>
    <e v="#N/A"/>
    <e v="#N/A"/>
    <n v="9.0661831368993653E-4"/>
    <n v="0.10416666666666667"/>
    <n v="5.4102795311091077E-3"/>
    <n v="1.8132366273798731E-2"/>
    <n v="0.99458972046889094"/>
  </r>
  <r>
    <n v="134"/>
    <x v="8"/>
    <x v="109"/>
    <x v="121"/>
    <x v="60"/>
    <x v="120"/>
    <n v="3"/>
    <n v="3"/>
    <n v="0"/>
    <n v="510"/>
    <n v="217"/>
    <n v="162"/>
    <n v="40"/>
    <n v="19"/>
    <n v="2"/>
    <n v="125"/>
    <n v="0.31764705882352939"/>
    <n v="0.24509803921568626"/>
    <e v="#N/A"/>
    <e v="#N/A"/>
    <n v="3.9215686274509803E-3"/>
    <n v="0.11728395061728394"/>
    <n v="5.8479532163742687E-3"/>
    <n v="3.7254901960784313E-2"/>
    <n v="0.99415204678362568"/>
  </r>
  <r>
    <n v="135"/>
    <x v="8"/>
    <x v="110"/>
    <x v="121"/>
    <x v="60"/>
    <x v="121"/>
    <n v="0"/>
    <n v="0"/>
    <n v="0"/>
    <n v="514"/>
    <n v="218"/>
    <n v="161"/>
    <n v="27"/>
    <n v="17"/>
    <n v="1"/>
    <n v="124"/>
    <n v="0.3132295719844358"/>
    <n v="0.24124513618677043"/>
    <e v="#N/A"/>
    <e v="#N/A"/>
    <n v="1.9455252918287938E-3"/>
    <n v="0.10559006211180125"/>
    <n v="0"/>
    <n v="3.3073929961089495E-2"/>
    <n v="1"/>
  </r>
  <r>
    <n v="136"/>
    <x v="8"/>
    <x v="109"/>
    <x v="122"/>
    <x v="29"/>
    <x v="122"/>
    <n v="10"/>
    <n v="7"/>
    <n v="3"/>
    <n v="5003"/>
    <n v="2082"/>
    <n v="1567"/>
    <n v="167"/>
    <n v="88"/>
    <n v="18"/>
    <n v="1567"/>
    <n v="0.31321207275634622"/>
    <n v="0.31321207275634622"/>
    <e v="#N/A"/>
    <e v="#N/A"/>
    <n v="3.5978412952228662E-3"/>
    <n v="5.6158264199106571E-2"/>
    <n v="1.9948134849391581E-3"/>
    <n v="1.7589446332200678E-2"/>
    <n v="0.99800518651506087"/>
  </r>
  <r>
    <n v="137"/>
    <x v="16"/>
    <x v="111"/>
    <x v="123"/>
    <x v="76"/>
    <x v="123"/>
    <n v="1"/>
    <n v="1"/>
    <n v="0"/>
    <n v="102"/>
    <n v="259"/>
    <n v="75"/>
    <n v="32"/>
    <n v="26"/>
    <n v="0"/>
    <n v="23"/>
    <n v="0.73529411764705888"/>
    <n v="0.22549019607843138"/>
    <e v="#N/A"/>
    <e v="#N/A"/>
    <n v="0"/>
    <n v="0.34666666666666668"/>
    <n v="9.7087378640776691E-3"/>
    <n v="0.25490196078431371"/>
    <n v="0.99029126213592233"/>
  </r>
  <r>
    <n v="138"/>
    <x v="5"/>
    <x v="112"/>
    <x v="124"/>
    <x v="79"/>
    <x v="124"/>
    <n v="4"/>
    <n v="1"/>
    <n v="3"/>
    <n v="742"/>
    <n v="285"/>
    <n v="202"/>
    <n v="45"/>
    <n v="20"/>
    <n v="0"/>
    <n v="303"/>
    <n v="0.27223719676549868"/>
    <n v="0.40835579514824799"/>
    <e v="#N/A"/>
    <e v="#N/A"/>
    <n v="0"/>
    <n v="9.9009900990099015E-2"/>
    <n v="5.3619302949061663E-3"/>
    <n v="2.6954177897574125E-2"/>
    <n v="0.99463806970509383"/>
  </r>
  <r>
    <n v="139"/>
    <x v="16"/>
    <x v="113"/>
    <x v="125"/>
    <x v="80"/>
    <x v="125"/>
    <n v="0"/>
    <n v="0"/>
    <n v="0"/>
    <n v="154"/>
    <n v="209"/>
    <n v="91"/>
    <n v="69"/>
    <n v="51"/>
    <n v="0"/>
    <n v="15"/>
    <n v="0.59090909090909094"/>
    <n v="9.7402597402597407E-2"/>
    <e v="#N/A"/>
    <e v="#N/A"/>
    <n v="0"/>
    <n v="0.56043956043956045"/>
    <n v="0"/>
    <n v="0.33116883116883117"/>
    <n v="1"/>
  </r>
  <r>
    <n v="140"/>
    <x v="8"/>
    <x v="114"/>
    <x v="126"/>
    <x v="81"/>
    <x v="126"/>
    <n v="24"/>
    <n v="14"/>
    <n v="10"/>
    <n v="10043"/>
    <n v="3402"/>
    <n v="2580"/>
    <n v="2243"/>
    <n v="1689"/>
    <n v="6"/>
    <n v="3456"/>
    <n v="0.25689534999502139"/>
    <n v="0.34412028278402867"/>
    <e v="#N/A"/>
    <e v="#N/A"/>
    <n v="5.9743104650004973E-4"/>
    <n v="0.65465116279069768"/>
    <n v="2.3840270189728818E-3"/>
    <n v="0.16817683958976401"/>
    <n v="0.99761597298102711"/>
  </r>
  <r>
    <n v="141"/>
    <x v="8"/>
    <x v="115"/>
    <x v="127"/>
    <x v="82"/>
    <x v="127"/>
    <n v="0"/>
    <n v="0"/>
    <n v="0"/>
    <n v="393"/>
    <n v="272"/>
    <n v="161"/>
    <n v="51"/>
    <n v="38"/>
    <n v="0"/>
    <n v="211"/>
    <n v="0.40966921119592875"/>
    <n v="0.53689567430025442"/>
    <e v="#N/A"/>
    <e v="#N/A"/>
    <n v="0"/>
    <n v="0.2360248447204969"/>
    <n v="0"/>
    <n v="9.6692111959287536E-2"/>
    <n v="1"/>
  </r>
  <r>
    <n v="142"/>
    <x v="17"/>
    <x v="116"/>
    <x v="128"/>
    <x v="41"/>
    <x v="128"/>
    <n v="2"/>
    <n v="1"/>
    <n v="1"/>
    <n v="845"/>
    <n v="366"/>
    <n v="224"/>
    <n v="166"/>
    <n v="37"/>
    <n v="2"/>
    <n v="304"/>
    <n v="0.26508875739644971"/>
    <n v="0.35976331360946745"/>
    <e v="#N/A"/>
    <e v="#N/A"/>
    <n v="2.3668639053254438E-3"/>
    <n v="0.16517857142857142"/>
    <n v="2.3612750885478157E-3"/>
    <n v="4.3786982248520713E-2"/>
    <n v="0.99763872491145222"/>
  </r>
  <r>
    <n v="143"/>
    <x v="17"/>
    <x v="117"/>
    <x v="129"/>
    <x v="83"/>
    <x v="18"/>
    <n v="0"/>
    <n v="0"/>
    <n v="0"/>
    <n v="57"/>
    <n v="155"/>
    <n v="29"/>
    <n v="21"/>
    <n v="10"/>
    <n v="0"/>
    <n v="12"/>
    <n v="0.50877192982456143"/>
    <n v="0.21052631578947367"/>
    <e v="#N/A"/>
    <e v="#N/A"/>
    <n v="0"/>
    <n v="0.34482758620689657"/>
    <n v="0"/>
    <n v="0.17543859649122806"/>
    <n v="1"/>
  </r>
  <r>
    <n v="144"/>
    <x v="17"/>
    <x v="116"/>
    <x v="130"/>
    <x v="84"/>
    <x v="129"/>
    <n v="28"/>
    <n v="8"/>
    <n v="20"/>
    <n v="6749"/>
    <n v="2658"/>
    <n v="1663"/>
    <n v="1425"/>
    <n v="286"/>
    <n v="7"/>
    <n v="2634"/>
    <n v="0.24640687509260631"/>
    <n v="0.39028004148762779"/>
    <e v="#N/A"/>
    <e v="#N/A"/>
    <n v="1.0371906949177656E-3"/>
    <n v="0.17197835237522549"/>
    <n v="4.1316216615021398E-3"/>
    <n v="4.2376648392354423E-2"/>
    <n v="0.99586837833849784"/>
  </r>
  <r>
    <n v="145"/>
    <x v="5"/>
    <x v="118"/>
    <x v="131"/>
    <x v="85"/>
    <x v="130"/>
    <n v="5"/>
    <n v="3"/>
    <n v="2"/>
    <n v="769"/>
    <n v="414"/>
    <n v="281"/>
    <n v="107"/>
    <n v="21"/>
    <n v="2"/>
    <n v="231"/>
    <n v="0.36540962288686607"/>
    <n v="0.30039011703511054"/>
    <e v="#N/A"/>
    <e v="#N/A"/>
    <n v="2.6007802340702211E-3"/>
    <n v="7.4733096085409248E-2"/>
    <n v="6.4599483204134363E-3"/>
    <n v="2.7308192457737322E-2"/>
    <n v="0.99354005167958659"/>
  </r>
  <r>
    <n v="146"/>
    <x v="8"/>
    <x v="119"/>
    <x v="132"/>
    <x v="86"/>
    <x v="131"/>
    <n v="23"/>
    <n v="8"/>
    <n v="15"/>
    <n v="9530"/>
    <n v="3743"/>
    <n v="2725"/>
    <n v="3544"/>
    <n v="1878"/>
    <n v="10"/>
    <n v="4567"/>
    <n v="0.28593913955928646"/>
    <n v="0.47922350472193076"/>
    <e v="#N/A"/>
    <e v="#N/A"/>
    <n v="1.0493179433368311E-3"/>
    <n v="0.6891743119266055"/>
    <n v="2.4076206427300325E-3"/>
    <n v="0.19706190975865687"/>
    <n v="0.99759237935726996"/>
  </r>
  <r>
    <n v="147"/>
    <x v="8"/>
    <x v="120"/>
    <x v="133"/>
    <x v="23"/>
    <x v="132"/>
    <n v="0"/>
    <n v="0"/>
    <n v="0"/>
    <n v="226"/>
    <n v="213"/>
    <n v="104"/>
    <n v="125"/>
    <n v="45"/>
    <n v="0"/>
    <n v="98"/>
    <n v="0.46017699115044247"/>
    <n v="0.4336283185840708"/>
    <e v="#N/A"/>
    <e v="#N/A"/>
    <n v="0"/>
    <n v="0.43269230769230771"/>
    <n v="0"/>
    <n v="0.19911504424778761"/>
    <n v="1"/>
  </r>
  <r>
    <n v="148"/>
    <x v="15"/>
    <x v="121"/>
    <x v="134"/>
    <x v="87"/>
    <x v="133"/>
    <n v="0"/>
    <n v="0"/>
    <n v="0"/>
    <n v="140"/>
    <n v="254"/>
    <n v="72"/>
    <n v="114"/>
    <n v="45"/>
    <n v="0"/>
    <n v="18"/>
    <n v="0.51428571428571423"/>
    <n v="0.12857142857142856"/>
    <e v="#N/A"/>
    <e v="#N/A"/>
    <n v="0"/>
    <n v="0.625"/>
    <n v="0"/>
    <n v="0.32142857142857145"/>
    <n v="1"/>
  </r>
  <r>
    <n v="149"/>
    <x v="14"/>
    <x v="122"/>
    <x v="135"/>
    <x v="55"/>
    <x v="134"/>
    <n v="29"/>
    <n v="13"/>
    <n v="16"/>
    <n v="9856"/>
    <n v="2962"/>
    <n v="2224"/>
    <n v="9821"/>
    <n v="1593"/>
    <n v="13"/>
    <n v="6734"/>
    <n v="0.22564935064935066"/>
    <n v="0.68323863636363635"/>
    <e v="#N/A"/>
    <e v="#N/A"/>
    <n v="1.3189935064935065E-3"/>
    <n v="0.71627697841726623"/>
    <n v="2.9337379868487608E-3"/>
    <n v="0.16162743506493507"/>
    <n v="0.99706626201315129"/>
  </r>
  <r>
    <n v="150"/>
    <x v="12"/>
    <x v="123"/>
    <x v="136"/>
    <x v="4"/>
    <x v="135"/>
    <n v="16"/>
    <n v="6"/>
    <n v="10"/>
    <n v="1118"/>
    <n v="520"/>
    <n v="346"/>
    <n v="2241"/>
    <n v="225"/>
    <n v="3"/>
    <n v="491"/>
    <n v="0.30948121645796062"/>
    <n v="0.43917710196779963"/>
    <e v="#N/A"/>
    <e v="#N/A"/>
    <n v="2.6833631484794273E-3"/>
    <n v="0.6502890173410405"/>
    <n v="1.4109347442680775E-2"/>
    <n v="0.20125223613595708"/>
    <n v="0.98589065255731922"/>
  </r>
  <r>
    <n v="151"/>
    <x v="10"/>
    <x v="124"/>
    <x v="137"/>
    <x v="29"/>
    <x v="136"/>
    <n v="0"/>
    <n v="0"/>
    <n v="0"/>
    <n v="15"/>
    <n v="3"/>
    <n v="3"/>
    <n v="1"/>
    <n v="1"/>
    <n v="0"/>
    <n v="2"/>
    <n v="0.2"/>
    <n v="0.13333333333333333"/>
    <e v="#N/A"/>
    <e v="#N/A"/>
    <n v="0"/>
    <n v="0.33333333333333331"/>
    <n v="0"/>
    <n v="6.6666666666666666E-2"/>
    <n v="1"/>
  </r>
  <r>
    <n v="152"/>
    <x v="10"/>
    <x v="125"/>
    <x v="137"/>
    <x v="29"/>
    <x v="40"/>
    <n v="0"/>
    <n v="0"/>
    <n v="0"/>
    <n v="16"/>
    <n v="6"/>
    <n v="4"/>
    <n v="1"/>
    <n v="1"/>
    <n v="0"/>
    <n v="2"/>
    <n v="0.25"/>
    <n v="0.125"/>
    <e v="#N/A"/>
    <e v="#N/A"/>
    <n v="0"/>
    <n v="0.25"/>
    <n v="0"/>
    <n v="6.25E-2"/>
    <n v="1"/>
  </r>
  <r>
    <n v="153"/>
    <x v="10"/>
    <x v="125"/>
    <x v="138"/>
    <x v="24"/>
    <x v="137"/>
    <n v="1"/>
    <n v="1"/>
    <n v="0"/>
    <n v="92"/>
    <n v="61"/>
    <n v="25"/>
    <n v="2"/>
    <n v="2"/>
    <n v="0"/>
    <n v="15"/>
    <n v="0.27173913043478259"/>
    <n v="0.16304347826086957"/>
    <e v="#N/A"/>
    <e v="#N/A"/>
    <n v="0"/>
    <n v="0.08"/>
    <n v="1.0752688172043012E-2"/>
    <n v="2.1739130434782608E-2"/>
    <n v="0.989247311827957"/>
  </r>
  <r>
    <n v="154"/>
    <x v="12"/>
    <x v="126"/>
    <x v="139"/>
    <x v="0"/>
    <x v="2"/>
    <n v="0"/>
    <n v="0"/>
    <n v="0"/>
    <n v="138"/>
    <n v="25"/>
    <n v="19"/>
    <n v="58"/>
    <n v="10"/>
    <n v="0"/>
    <n v="82"/>
    <n v="0.13768115942028986"/>
    <n v="0.59420289855072461"/>
    <e v="#N/A"/>
    <e v="#N/A"/>
    <n v="0"/>
    <n v="0.52631578947368418"/>
    <n v="0"/>
    <n v="7.2463768115942032E-2"/>
    <n v="1"/>
  </r>
  <r>
    <n v="155"/>
    <x v="12"/>
    <x v="126"/>
    <x v="140"/>
    <x v="55"/>
    <x v="138"/>
    <n v="5"/>
    <n v="4"/>
    <n v="1"/>
    <n v="975"/>
    <n v="254"/>
    <n v="189"/>
    <n v="292"/>
    <n v="89"/>
    <n v="0"/>
    <n v="437"/>
    <n v="0.19384615384615383"/>
    <n v="0.4482051282051282"/>
    <e v="#N/A"/>
    <e v="#N/A"/>
    <n v="0"/>
    <n v="0.47089947089947087"/>
    <n v="5.1020408163265302E-3"/>
    <n v="9.1282051282051288E-2"/>
    <n v="0.99489795918367352"/>
  </r>
  <r>
    <n v="156"/>
    <x v="17"/>
    <x v="127"/>
    <x v="141"/>
    <x v="23"/>
    <x v="139"/>
    <n v="4"/>
    <n v="1"/>
    <n v="3"/>
    <n v="1263"/>
    <n v="452"/>
    <n v="324"/>
    <n v="888"/>
    <n v="200"/>
    <n v="2"/>
    <n v="624"/>
    <n v="0.25653206650831356"/>
    <n v="0.49406175771971494"/>
    <e v="#N/A"/>
    <e v="#N/A"/>
    <n v="1.5835312747426761E-3"/>
    <n v="0.61728395061728392"/>
    <n v="3.1570639305445935E-3"/>
    <n v="0.15835312747426761"/>
    <n v="0.9968429360694554"/>
  </r>
  <r>
    <n v="157"/>
    <x v="17"/>
    <x v="128"/>
    <x v="141"/>
    <x v="23"/>
    <x v="140"/>
    <n v="3"/>
    <n v="0"/>
    <n v="3"/>
    <n v="1265"/>
    <n v="414"/>
    <n v="310"/>
    <n v="559"/>
    <n v="216"/>
    <n v="2"/>
    <n v="625"/>
    <n v="0.24505928853754941"/>
    <n v="0.49407114624505927"/>
    <e v="#N/A"/>
    <e v="#N/A"/>
    <n v="1.5810276679841897E-3"/>
    <n v="0.6967741935483871"/>
    <n v="2.3659305993690852E-3"/>
    <n v="0.1707509881422925"/>
    <n v="0.99763406940063093"/>
  </r>
  <r>
    <n v="158"/>
    <x v="17"/>
    <x v="127"/>
    <x v="142"/>
    <x v="83"/>
    <x v="141"/>
    <n v="36"/>
    <n v="8"/>
    <n v="28"/>
    <n v="7567"/>
    <n v="2613"/>
    <n v="1884"/>
    <n v="4194"/>
    <n v="1248"/>
    <n v="10"/>
    <n v="3460"/>
    <n v="0.24897581604334612"/>
    <n v="0.45724857935773755"/>
    <e v="#N/A"/>
    <e v="#N/A"/>
    <n v="1.3215276860050217E-3"/>
    <n v="0.66242038216560506"/>
    <n v="4.7349730369590955E-3"/>
    <n v="0.16492665521342673"/>
    <n v="0.99526502696304087"/>
  </r>
  <r>
    <n v="159"/>
    <x v="2"/>
    <x v="129"/>
    <x v="143"/>
    <x v="88"/>
    <x v="142"/>
    <n v="0"/>
    <n v="0"/>
    <n v="0"/>
    <n v="130"/>
    <n v="1309"/>
    <n v="86"/>
    <n v="521"/>
    <n v="66"/>
    <n v="0"/>
    <n v="120"/>
    <n v="0.66153846153846152"/>
    <n v="0.92307692307692313"/>
    <e v="#N/A"/>
    <e v="#N/A"/>
    <n v="0"/>
    <n v="0.76744186046511631"/>
    <n v="0"/>
    <n v="0.50769230769230766"/>
    <n v="1"/>
  </r>
  <r>
    <n v="160"/>
    <x v="5"/>
    <x v="130"/>
    <x v="144"/>
    <x v="89"/>
    <x v="143"/>
    <n v="4"/>
    <n v="2"/>
    <n v="2"/>
    <n v="791"/>
    <n v="466"/>
    <n v="278"/>
    <n v="161"/>
    <n v="27"/>
    <n v="0"/>
    <n v="252"/>
    <n v="0.35145385587863465"/>
    <n v="0.31858407079646017"/>
    <e v="#N/A"/>
    <e v="#N/A"/>
    <n v="0"/>
    <n v="9.7122302158273388E-2"/>
    <n v="5.0314465408805029E-3"/>
    <n v="3.4134007585335017E-2"/>
    <n v="0.9949685534591195"/>
  </r>
  <r>
    <n v="161"/>
    <x v="12"/>
    <x v="131"/>
    <x v="145"/>
    <x v="90"/>
    <x v="144"/>
    <n v="5"/>
    <n v="3"/>
    <n v="2"/>
    <n v="1109"/>
    <n v="307"/>
    <n v="215"/>
    <n v="418"/>
    <n v="100"/>
    <n v="1"/>
    <n v="471"/>
    <n v="0.19386834986474302"/>
    <n v="0.42470694319206492"/>
    <e v="#N/A"/>
    <e v="#N/A"/>
    <n v="9.0171325518485117E-4"/>
    <n v="0.46511627906976744"/>
    <n v="4.4883303411131061E-3"/>
    <n v="9.0171325518485126E-2"/>
    <n v="0.99551166965888693"/>
  </r>
  <r>
    <n v="162"/>
    <x v="17"/>
    <x v="132"/>
    <x v="146"/>
    <x v="26"/>
    <x v="145"/>
    <n v="36"/>
    <n v="11"/>
    <n v="25"/>
    <n v="7646"/>
    <n v="1148"/>
    <n v="905"/>
    <n v="679"/>
    <n v="562"/>
    <n v="14"/>
    <n v="3539"/>
    <n v="0.11836254250588543"/>
    <n v="0.46285639550091551"/>
    <e v="#N/A"/>
    <e v="#N/A"/>
    <n v="1.8310227569971226E-3"/>
    <n v="0.62099447513812156"/>
    <n v="4.6862796146836761E-3"/>
    <n v="7.3502484959455924E-2"/>
    <n v="0.99531372038531629"/>
  </r>
  <r>
    <n v="163"/>
    <x v="14"/>
    <x v="133"/>
    <x v="147"/>
    <x v="91"/>
    <x v="146"/>
    <n v="24"/>
    <n v="13"/>
    <n v="11"/>
    <n v="9844"/>
    <n v="2744"/>
    <n v="2033"/>
    <n v="4929"/>
    <n v="1359"/>
    <n v="11"/>
    <n v="6100"/>
    <n v="0.20652173913043478"/>
    <n v="0.61966680211296221"/>
    <e v="#N/A"/>
    <e v="#N/A"/>
    <n v="1.1174319382364893E-3"/>
    <n v="0.66847024102311858"/>
    <n v="2.4321037697608433E-3"/>
    <n v="0.13805363673303536"/>
    <n v="0.99756789623023912"/>
  </r>
  <r>
    <n v="164"/>
    <x v="11"/>
    <x v="134"/>
    <x v="148"/>
    <x v="85"/>
    <x v="147"/>
    <n v="17"/>
    <n v="3"/>
    <n v="14"/>
    <n v="2214"/>
    <n v="762"/>
    <n v="467"/>
    <n v="81"/>
    <n v="30"/>
    <n v="3"/>
    <n v="1588"/>
    <n v="0.2109304426377597"/>
    <n v="0.7172538392050587"/>
    <e v="#N/A"/>
    <e v="#N/A"/>
    <n v="1.3550135501355014E-3"/>
    <n v="6.4239828693790149E-2"/>
    <n v="7.6199013895114302E-3"/>
    <n v="1.3550135501355014E-2"/>
    <n v="0.99238009861048859"/>
  </r>
  <r>
    <n v="165"/>
    <x v="18"/>
    <x v="135"/>
    <x v="149"/>
    <x v="21"/>
    <x v="148"/>
    <n v="1"/>
    <n v="0"/>
    <n v="1"/>
    <n v="26"/>
    <n v="11"/>
    <n v="10"/>
    <n v="1"/>
    <n v="1"/>
    <n v="0"/>
    <n v="1"/>
    <n v="0.38461538461538464"/>
    <n v="3.8461538461538464E-2"/>
    <e v="#N/A"/>
    <e v="#N/A"/>
    <n v="0"/>
    <n v="0.1"/>
    <n v="3.7037037037037035E-2"/>
    <n v="3.8461538461538464E-2"/>
    <n v="0.96296296296296291"/>
  </r>
  <r>
    <n v="166"/>
    <x v="2"/>
    <x v="136"/>
    <x v="150"/>
    <x v="92"/>
    <x v="149"/>
    <n v="0"/>
    <n v="0"/>
    <n v="0"/>
    <n v="132"/>
    <n v="718"/>
    <n v="82"/>
    <n v="194"/>
    <n v="60"/>
    <n v="0"/>
    <n v="122"/>
    <n v="0.62121212121212122"/>
    <n v="0.9242424242424242"/>
    <e v="#N/A"/>
    <e v="#N/A"/>
    <n v="0"/>
    <n v="0.73170731707317072"/>
    <n v="0"/>
    <n v="0.45454545454545453"/>
    <n v="1"/>
  </r>
  <r>
    <n v="167"/>
    <x v="18"/>
    <x v="137"/>
    <x v="151"/>
    <x v="93"/>
    <x v="150"/>
    <n v="4"/>
    <n v="1"/>
    <n v="3"/>
    <n v="83"/>
    <n v="61"/>
    <n v="33"/>
    <n v="18"/>
    <n v="8"/>
    <n v="0"/>
    <n v="12"/>
    <n v="0.39759036144578314"/>
    <n v="0.14457831325301204"/>
    <e v="#N/A"/>
    <e v="#N/A"/>
    <n v="0"/>
    <n v="0.24242424242424243"/>
    <n v="4.5977011494252873E-2"/>
    <n v="9.6385542168674704E-2"/>
    <n v="0.95402298850574707"/>
  </r>
  <r>
    <n v="168"/>
    <x v="19"/>
    <x v="138"/>
    <x v="152"/>
    <x v="4"/>
    <x v="151"/>
    <n v="1"/>
    <n v="0"/>
    <n v="1"/>
    <n v="48"/>
    <n v="104"/>
    <n v="17"/>
    <n v="8"/>
    <n v="7"/>
    <n v="0"/>
    <n v="15"/>
    <n v="0.35416666666666669"/>
    <n v="0.3125"/>
    <e v="#N/A"/>
    <e v="#N/A"/>
    <n v="0"/>
    <n v="0.41176470588235292"/>
    <n v="2.0408163265306121E-2"/>
    <n v="0.14583333333333334"/>
    <n v="0.97959183673469385"/>
  </r>
  <r>
    <n v="169"/>
    <x v="19"/>
    <x v="139"/>
    <x v="153"/>
    <x v="6"/>
    <x v="152"/>
    <n v="2"/>
    <n v="0"/>
    <n v="2"/>
    <n v="3"/>
    <n v="2"/>
    <n v="2"/>
    <n v="0"/>
    <n v="0"/>
    <n v="0"/>
    <n v="0"/>
    <n v="0.66666666666666663"/>
    <n v="0"/>
    <e v="#N/A"/>
    <e v="#N/A"/>
    <n v="0"/>
    <n v="0"/>
    <n v="0.4"/>
    <n v="0"/>
    <n v="0.6"/>
  </r>
  <r>
    <n v="170"/>
    <x v="8"/>
    <x v="34"/>
    <x v="154"/>
    <x v="6"/>
    <x v="153"/>
    <n v="13"/>
    <n v="3"/>
    <n v="10"/>
    <n v="3853"/>
    <n v="1803"/>
    <n v="1092"/>
    <n v="276"/>
    <n v="184"/>
    <n v="5"/>
    <n v="2223"/>
    <n v="0.28341552037373474"/>
    <n v="0.57695302361796008"/>
    <e v="#N/A"/>
    <e v="#N/A"/>
    <n v="1.2976901116013497E-3"/>
    <n v="0.16849816849816851"/>
    <n v="3.362648732540093E-3"/>
    <n v="4.7754996106929667E-2"/>
    <n v="0.99663735126745989"/>
  </r>
  <r>
    <n v="171"/>
    <x v="12"/>
    <x v="140"/>
    <x v="155"/>
    <x v="27"/>
    <x v="154"/>
    <n v="10"/>
    <n v="3"/>
    <n v="7"/>
    <n v="1082"/>
    <n v="337"/>
    <n v="230"/>
    <n v="39"/>
    <n v="33"/>
    <n v="2"/>
    <n v="449"/>
    <n v="0.21256931608133087"/>
    <n v="0.41497227356746763"/>
    <e v="#N/A"/>
    <e v="#N/A"/>
    <n v="1.8484288354898336E-3"/>
    <n v="0.14347826086956522"/>
    <n v="9.1575091575091579E-3"/>
    <n v="3.0499075785582256E-2"/>
    <n v="0.99084249084249088"/>
  </r>
  <r>
    <n v="172"/>
    <x v="18"/>
    <x v="137"/>
    <x v="156"/>
    <x v="6"/>
    <x v="155"/>
    <n v="5"/>
    <n v="1"/>
    <n v="4"/>
    <n v="96"/>
    <n v="62"/>
    <n v="28"/>
    <n v="14"/>
    <n v="9"/>
    <n v="0"/>
    <n v="59"/>
    <n v="0.29166666666666669"/>
    <n v="0.61458333333333337"/>
    <e v="#N/A"/>
    <e v="#N/A"/>
    <n v="0"/>
    <n v="0.32142857142857145"/>
    <n v="4.9504950495049507E-2"/>
    <n v="9.375E-2"/>
    <n v="0.95049504950495045"/>
  </r>
  <r>
    <n v="173"/>
    <x v="10"/>
    <x v="141"/>
    <x v="157"/>
    <x v="15"/>
    <x v="156"/>
    <n v="29"/>
    <n v="12"/>
    <n v="17"/>
    <n v="9583"/>
    <n v="4180"/>
    <n v="2964"/>
    <n v="438"/>
    <n v="278"/>
    <n v="30"/>
    <n v="5469"/>
    <n v="0.30929771470312012"/>
    <n v="0.57069811123865177"/>
    <e v="#N/A"/>
    <e v="#N/A"/>
    <n v="3.1305436710842116E-3"/>
    <n v="9.3792172739541158E-2"/>
    <n v="3.0170620058260506E-3"/>
    <n v="2.9009704685380361E-2"/>
    <n v="0.99698293799417392"/>
  </r>
  <r>
    <n v="174"/>
    <x v="14"/>
    <x v="142"/>
    <x v="158"/>
    <x v="94"/>
    <x v="157"/>
    <n v="21"/>
    <n v="12"/>
    <n v="9"/>
    <n v="9956"/>
    <n v="2889"/>
    <n v="2135"/>
    <n v="4887"/>
    <n v="1372"/>
    <n v="5"/>
    <n v="6754"/>
    <n v="0.2144435516271595"/>
    <n v="0.67838489353153875"/>
    <e v="#N/A"/>
    <e v="#N/A"/>
    <n v="5.0220972278023301E-4"/>
    <n v="0.64262295081967213"/>
    <n v="2.1048411346096022E-3"/>
    <n v="0.13780634793089594"/>
    <n v="0.99789515886539037"/>
  </r>
  <r>
    <n v="175"/>
    <x v="10"/>
    <x v="143"/>
    <x v="159"/>
    <x v="8"/>
    <x v="158"/>
    <n v="3"/>
    <n v="2"/>
    <n v="1"/>
    <n v="971"/>
    <n v="193"/>
    <n v="161"/>
    <n v="1"/>
    <n v="1"/>
    <n v="7"/>
    <n v="431"/>
    <n v="0.16580844490216273"/>
    <n v="0.44387229660144184"/>
    <e v="#N/A"/>
    <e v="#N/A"/>
    <n v="7.2090628218331619E-3"/>
    <n v="6.2111801242236021E-3"/>
    <n v="3.0800821355236141E-3"/>
    <n v="1.0298661174047373E-3"/>
    <n v="0.99691991786447642"/>
  </r>
  <r>
    <n v="176"/>
    <x v="12"/>
    <x v="144"/>
    <x v="160"/>
    <x v="95"/>
    <x v="159"/>
    <n v="5"/>
    <n v="1"/>
    <n v="4"/>
    <n v="1098"/>
    <n v="319"/>
    <n v="238"/>
    <n v="55"/>
    <n v="30"/>
    <n v="2"/>
    <n v="460"/>
    <n v="0.21675774134790529"/>
    <n v="0.41894353369763204"/>
    <e v="#N/A"/>
    <e v="#N/A"/>
    <n v="1.8214936247723133E-3"/>
    <n v="0.12605042016806722"/>
    <n v="4.5330915684496827E-3"/>
    <n v="2.7322404371584699E-2"/>
    <n v="0.99546690843155028"/>
  </r>
  <r>
    <n v="177"/>
    <x v="10"/>
    <x v="145"/>
    <x v="161"/>
    <x v="0"/>
    <x v="160"/>
    <n v="2"/>
    <n v="0"/>
    <n v="2"/>
    <n v="453"/>
    <n v="130"/>
    <n v="97"/>
    <n v="8"/>
    <n v="7"/>
    <n v="0"/>
    <n v="112"/>
    <n v="0.21412803532008831"/>
    <n v="0.24724061810154527"/>
    <e v="#N/A"/>
    <e v="#N/A"/>
    <n v="0"/>
    <n v="7.2164948453608241E-2"/>
    <n v="4.3956043956043956E-3"/>
    <n v="1.5452538631346579E-2"/>
    <n v="0.99560439560439562"/>
  </r>
  <r>
    <n v="178"/>
    <x v="10"/>
    <x v="145"/>
    <x v="161"/>
    <x v="0"/>
    <x v="160"/>
    <n v="1"/>
    <n v="0"/>
    <n v="1"/>
    <n v="454"/>
    <n v="134"/>
    <n v="104"/>
    <n v="17"/>
    <n v="9"/>
    <n v="2"/>
    <n v="112"/>
    <n v="0.22907488986784141"/>
    <n v="0.24669603524229075"/>
    <e v="#N/A"/>
    <e v="#N/A"/>
    <n v="4.4052863436123352E-3"/>
    <n v="8.6538461538461536E-2"/>
    <n v="2.1978021978021978E-3"/>
    <n v="1.9823788546255508E-2"/>
    <n v="0.99780219780219781"/>
  </r>
  <r>
    <n v="179"/>
    <x v="10"/>
    <x v="145"/>
    <x v="162"/>
    <x v="96"/>
    <x v="161"/>
    <n v="5"/>
    <n v="1"/>
    <n v="4"/>
    <n v="3041"/>
    <n v="1099"/>
    <n v="772"/>
    <n v="89"/>
    <n v="65"/>
    <n v="8"/>
    <n v="1403"/>
    <n v="0.25386386057218019"/>
    <n v="0.46136139427819794"/>
    <e v="#N/A"/>
    <e v="#N/A"/>
    <n v="2.6307135810588623E-3"/>
    <n v="8.4196891191709838E-2"/>
    <n v="1.6414970453053185E-3"/>
    <n v="2.1374547846103254E-2"/>
    <n v="0.99835850295469464"/>
  </r>
  <r>
    <n v="180"/>
    <x v="18"/>
    <x v="146"/>
    <x v="163"/>
    <x v="97"/>
    <x v="162"/>
    <n v="0"/>
    <n v="0"/>
    <n v="0"/>
    <n v="115"/>
    <n v="97"/>
    <n v="53"/>
    <n v="392"/>
    <n v="25"/>
    <n v="0"/>
    <n v="60"/>
    <n v="0.46086956521739131"/>
    <n v="0.52173913043478259"/>
    <e v="#N/A"/>
    <e v="#N/A"/>
    <n v="0"/>
    <n v="0.47169811320754718"/>
    <n v="0"/>
    <n v="0.21739130434782608"/>
    <n v="1"/>
  </r>
  <r>
    <n v="181"/>
    <x v="17"/>
    <x v="147"/>
    <x v="164"/>
    <x v="85"/>
    <x v="163"/>
    <n v="18"/>
    <n v="9"/>
    <n v="9"/>
    <n v="6752"/>
    <n v="2475"/>
    <n v="1784"/>
    <n v="1712"/>
    <n v="1235"/>
    <n v="13"/>
    <n v="2627"/>
    <n v="0.26421800947867297"/>
    <n v="0.38906990521327012"/>
    <e v="#N/A"/>
    <e v="#N/A"/>
    <n v="1.9253554502369668E-3"/>
    <n v="0.69226457399103136"/>
    <n v="2.6587887740029542E-3"/>
    <n v="0.18290876777251186"/>
    <n v="0.99734121122599706"/>
  </r>
  <r>
    <n v="182"/>
    <x v="5"/>
    <x v="67"/>
    <x v="165"/>
    <x v="98"/>
    <x v="164"/>
    <n v="3"/>
    <n v="2"/>
    <n v="1"/>
    <n v="825"/>
    <n v="388"/>
    <n v="258"/>
    <n v="43"/>
    <n v="32"/>
    <n v="0"/>
    <n v="285"/>
    <n v="0.31272727272727274"/>
    <n v="0.34545454545454546"/>
    <e v="#N/A"/>
    <e v="#N/A"/>
    <n v="0"/>
    <n v="0.12403100775193798"/>
    <n v="3.6231884057971015E-3"/>
    <n v="3.8787878787878788E-2"/>
    <n v="0.99637681159420288"/>
  </r>
  <r>
    <n v="183"/>
    <x v="13"/>
    <x v="148"/>
    <x v="166"/>
    <x v="24"/>
    <x v="165"/>
    <n v="12"/>
    <n v="0"/>
    <n v="12"/>
    <n v="3751"/>
    <n v="1679"/>
    <n v="1046"/>
    <n v="117"/>
    <n v="87"/>
    <n v="5"/>
    <n v="2120"/>
    <n v="0.27885897094108236"/>
    <n v="0.56518261796854175"/>
    <e v="#N/A"/>
    <e v="#N/A"/>
    <n v="1.3329778725673154E-3"/>
    <n v="8.3173996175908219E-2"/>
    <n v="3.1889449906989105E-3"/>
    <n v="2.3193814982671288E-2"/>
    <n v="0.99681105500930112"/>
  </r>
  <r>
    <n v="184"/>
    <x v="12"/>
    <x v="149"/>
    <x v="167"/>
    <x v="99"/>
    <x v="166"/>
    <n v="22"/>
    <n v="8"/>
    <n v="14"/>
    <n v="6482"/>
    <n v="1946"/>
    <n v="1519"/>
    <n v="135"/>
    <n v="59"/>
    <n v="8"/>
    <n v="2361"/>
    <n v="0.23434125269978401"/>
    <n v="0.36423943227398953"/>
    <e v="#N/A"/>
    <e v="#N/A"/>
    <n v="1.2341869793273681E-3"/>
    <n v="3.8841342988808425E-2"/>
    <n v="3.3825338253382535E-3"/>
    <n v="9.10212897253934E-3"/>
    <n v="0.99661746617466174"/>
  </r>
  <r>
    <n v="185"/>
    <x v="17"/>
    <x v="150"/>
    <x v="168"/>
    <x v="100"/>
    <x v="167"/>
    <n v="14"/>
    <n v="9"/>
    <n v="5"/>
    <n v="6743"/>
    <n v="2284"/>
    <n v="1735"/>
    <n v="1670"/>
    <n v="1270"/>
    <n v="11"/>
    <n v="2614"/>
    <n v="0.25730387068070593"/>
    <n v="0.38766127836274655"/>
    <e v="#N/A"/>
    <e v="#N/A"/>
    <n v="1.6313213703099511E-3"/>
    <n v="0.73198847262247835"/>
    <n v="2.0719254106852155E-3"/>
    <n v="0.18834346729942161"/>
    <n v="0.99792807458931476"/>
  </r>
  <r>
    <n v="186"/>
    <x v="18"/>
    <x v="151"/>
    <x v="169"/>
    <x v="101"/>
    <x v="168"/>
    <n v="4"/>
    <n v="1"/>
    <n v="3"/>
    <n v="153"/>
    <n v="103"/>
    <n v="57"/>
    <n v="376"/>
    <n v="30"/>
    <n v="0"/>
    <n v="63"/>
    <n v="0.37254901960784315"/>
    <n v="0.41176470588235292"/>
    <e v="#N/A"/>
    <e v="#N/A"/>
    <n v="0"/>
    <n v="0.52631578947368418"/>
    <n v="2.5477707006369428E-2"/>
    <n v="0.19607843137254902"/>
    <n v="0.97452229299363058"/>
  </r>
  <r>
    <n v="187"/>
    <x v="14"/>
    <x v="152"/>
    <x v="170"/>
    <x v="15"/>
    <x v="169"/>
    <n v="32"/>
    <n v="13"/>
    <n v="19"/>
    <n v="10118"/>
    <n v="3197"/>
    <n v="2377"/>
    <n v="5326"/>
    <n v="1547"/>
    <n v="11"/>
    <n v="7865"/>
    <n v="0.23492785135402253"/>
    <n v="0.7773275350859854"/>
    <e v="#N/A"/>
    <e v="#N/A"/>
    <n v="1.0871713777426369E-3"/>
    <n v="0.650820361800589"/>
    <n v="3.1527093596059115E-3"/>
    <n v="0.15289582921525993"/>
    <n v="0.99684729064039412"/>
  </r>
  <r>
    <n v="188"/>
    <x v="13"/>
    <x v="153"/>
    <x v="171"/>
    <x v="102"/>
    <x v="170"/>
    <n v="17"/>
    <n v="7"/>
    <n v="10"/>
    <n v="10441"/>
    <n v="4418"/>
    <n v="2933"/>
    <n v="34195"/>
    <n v="1786"/>
    <n v="8"/>
    <n v="3457"/>
    <n v="0.28091179005842354"/>
    <n v="0.33109855377837372"/>
    <e v="#N/A"/>
    <e v="#N/A"/>
    <n v="7.6621013312901066E-4"/>
    <n v="0.60893283327650871"/>
    <n v="1.6255498183209026E-3"/>
    <n v="0.17105641222105161"/>
    <n v="0.99837445018167914"/>
  </r>
  <r>
    <n v="189"/>
    <x v="12"/>
    <x v="154"/>
    <x v="172"/>
    <x v="6"/>
    <x v="171"/>
    <n v="12"/>
    <n v="7"/>
    <n v="5"/>
    <n v="6407"/>
    <n v="1809"/>
    <n v="1438"/>
    <n v="113"/>
    <n v="52"/>
    <n v="5"/>
    <n v="2276"/>
    <n v="0.22444201654440457"/>
    <n v="0.35523646012174187"/>
    <e v="#N/A"/>
    <e v="#N/A"/>
    <n v="7.8039644139222728E-4"/>
    <n v="3.6161335187760782E-2"/>
    <n v="1.8694500701043775E-3"/>
    <n v="8.1161229904791639E-3"/>
    <n v="0.99813054992989558"/>
  </r>
  <r>
    <n v="190"/>
    <x v="17"/>
    <x v="155"/>
    <x v="173"/>
    <x v="103"/>
    <x v="172"/>
    <n v="10"/>
    <n v="6"/>
    <n v="4"/>
    <n v="6711"/>
    <n v="2044"/>
    <n v="1575"/>
    <n v="13036"/>
    <n v="1182"/>
    <n v="5"/>
    <n v="2578"/>
    <n v="0.23468931604827895"/>
    <n v="0.38414543287140518"/>
    <e v="#N/A"/>
    <e v="#N/A"/>
    <n v="7.4504544777231408E-4"/>
    <n v="0.75047619047619052"/>
    <n v="1.4878738282993601E-3"/>
    <n v="0.17612874385337507"/>
    <n v="0.9985121261717006"/>
  </r>
  <r>
    <n v="191"/>
    <x v="1"/>
    <x v="156"/>
    <x v="174"/>
    <x v="8"/>
    <x v="173"/>
    <n v="0"/>
    <n v="0"/>
    <n v="0"/>
    <n v="100"/>
    <n v="203"/>
    <n v="35"/>
    <n v="42"/>
    <n v="14"/>
    <n v="0"/>
    <n v="76"/>
    <n v="0.35"/>
    <n v="0.76"/>
    <e v="#N/A"/>
    <e v="#N/A"/>
    <n v="0"/>
    <n v="0.4"/>
    <n v="0"/>
    <n v="0.14000000000000001"/>
    <n v="1"/>
  </r>
  <r>
    <n v="192"/>
    <x v="13"/>
    <x v="157"/>
    <x v="175"/>
    <x v="104"/>
    <x v="174"/>
    <n v="29"/>
    <n v="3"/>
    <n v="26"/>
    <n v="6225"/>
    <n v="1922"/>
    <n v="1480"/>
    <n v="17047"/>
    <n v="1025"/>
    <n v="11"/>
    <n v="2111"/>
    <n v="0.23775100401606425"/>
    <n v="0.33911646586345384"/>
    <e v="#N/A"/>
    <e v="#N/A"/>
    <n v="1.7670682730923696E-3"/>
    <n v="0.69256756756756754"/>
    <n v="4.6370322993284302E-3"/>
    <n v="0.1646586345381526"/>
    <n v="0.99536296770067156"/>
  </r>
  <r>
    <n v="193"/>
    <x v="17"/>
    <x v="158"/>
    <x v="176"/>
    <x v="105"/>
    <x v="175"/>
    <n v="31"/>
    <n v="5"/>
    <n v="26"/>
    <n v="6678"/>
    <n v="2653"/>
    <n v="2034"/>
    <n v="145"/>
    <n v="118"/>
    <n v="15"/>
    <n v="2566"/>
    <n v="0.30458221024258758"/>
    <n v="0.38424678047319555"/>
    <e v="#N/A"/>
    <e v="#N/A"/>
    <n v="2.2461814914645105E-3"/>
    <n v="5.801376597836775E-2"/>
    <n v="4.6206588165151287E-3"/>
    <n v="1.766996106618748E-2"/>
    <n v="0.99537934118348492"/>
  </r>
  <r>
    <n v="194"/>
    <x v="17"/>
    <x v="159"/>
    <x v="177"/>
    <x v="106"/>
    <x v="176"/>
    <n v="3"/>
    <n v="1"/>
    <n v="2"/>
    <n v="6668"/>
    <n v="2307"/>
    <n v="1689"/>
    <n v="14357"/>
    <n v="1193"/>
    <n v="6"/>
    <n v="2528"/>
    <n v="0.25329934013197358"/>
    <n v="0.37912417516496699"/>
    <e v="#N/A"/>
    <e v="#N/A"/>
    <n v="8.9982003599280147E-4"/>
    <n v="0.70633510953226764"/>
    <n v="4.4970769000149901E-4"/>
    <n v="0.17891421715656869"/>
    <n v="0.99955029230999848"/>
  </r>
  <r>
    <n v="195"/>
    <x v="14"/>
    <x v="160"/>
    <x v="178"/>
    <x v="8"/>
    <x v="177"/>
    <n v="23"/>
    <n v="9"/>
    <n v="14"/>
    <n v="10151"/>
    <n v="3313"/>
    <n v="2362"/>
    <n v="5649"/>
    <n v="1582"/>
    <n v="7"/>
    <n v="4563"/>
    <n v="0.2326864348340065"/>
    <n v="0.44951236331395922"/>
    <e v="#N/A"/>
    <e v="#N/A"/>
    <n v="6.8958723278494732E-4"/>
    <n v="0.66977138018628279"/>
    <n v="2.2606644387654804E-3"/>
    <n v="0.15584671460939808"/>
    <n v="0.99773933556123451"/>
  </r>
  <r>
    <n v="196"/>
    <x v="17"/>
    <x v="85"/>
    <x v="179"/>
    <x v="21"/>
    <x v="178"/>
    <n v="4"/>
    <n v="2"/>
    <n v="2"/>
    <n v="80"/>
    <n v="93"/>
    <n v="45"/>
    <n v="7"/>
    <n v="7"/>
    <n v="0"/>
    <n v="13"/>
    <n v="0.5625"/>
    <n v="0.16250000000000001"/>
    <e v="#N/A"/>
    <e v="#N/A"/>
    <n v="0"/>
    <n v="0.15555555555555556"/>
    <n v="4.7619047619047616E-2"/>
    <n v="8.7499999999999994E-2"/>
    <n v="0.95238095238095233"/>
  </r>
  <r>
    <n v="197"/>
    <x v="17"/>
    <x v="161"/>
    <x v="180"/>
    <x v="101"/>
    <x v="179"/>
    <n v="0"/>
    <n v="0"/>
    <n v="0"/>
    <n v="417"/>
    <n v="383"/>
    <n v="255"/>
    <n v="5"/>
    <n v="5"/>
    <n v="4"/>
    <n v="74"/>
    <n v="0.61151079136690645"/>
    <n v="0.17745803357314149"/>
    <e v="#N/A"/>
    <e v="#N/A"/>
    <n v="9.5923261390887284E-3"/>
    <n v="1.9607843137254902E-2"/>
    <n v="0"/>
    <n v="1.1990407673860911E-2"/>
    <n v="1"/>
  </r>
  <r>
    <n v="199"/>
    <x v="2"/>
    <x v="162"/>
    <x v="181"/>
    <x v="107"/>
    <x v="180"/>
    <n v="2"/>
    <n v="0"/>
    <n v="2"/>
    <n v="73"/>
    <n v="403"/>
    <n v="59"/>
    <n v="168"/>
    <n v="47"/>
    <n v="0"/>
    <n v="65"/>
    <n v="0.80821917808219179"/>
    <n v="0.8904109589041096"/>
    <e v="#N/A"/>
    <e v="#N/A"/>
    <n v="0"/>
    <n v="0.79661016949152541"/>
    <n v="2.6666666666666668E-2"/>
    <n v="0.64383561643835618"/>
    <n v="0.97333333333333338"/>
  </r>
  <r>
    <n v="200"/>
    <x v="2"/>
    <x v="163"/>
    <x v="182"/>
    <x v="108"/>
    <x v="9"/>
    <n v="0"/>
    <n v="0"/>
    <n v="0"/>
    <n v="31"/>
    <n v="177"/>
    <n v="23"/>
    <n v="57"/>
    <n v="14"/>
    <n v="0"/>
    <n v="21"/>
    <n v="0.74193548387096775"/>
    <n v="0.67741935483870963"/>
    <e v="#N/A"/>
    <e v="#N/A"/>
    <n v="0"/>
    <n v="0.60869565217391308"/>
    <n v="0"/>
    <n v="0.45161290322580644"/>
    <n v="1"/>
  </r>
  <r>
    <n v="201"/>
    <x v="2"/>
    <x v="164"/>
    <x v="183"/>
    <x v="109"/>
    <x v="181"/>
    <n v="0"/>
    <n v="0"/>
    <n v="0"/>
    <n v="30"/>
    <n v="102"/>
    <n v="19"/>
    <n v="38"/>
    <n v="14"/>
    <n v="0"/>
    <n v="20"/>
    <n v="0.6333333333333333"/>
    <n v="0.66666666666666663"/>
    <e v="#N/A"/>
    <e v="#N/A"/>
    <n v="0"/>
    <n v="0.73684210526315785"/>
    <n v="0"/>
    <n v="0.46666666666666667"/>
    <n v="1"/>
  </r>
  <r>
    <n v="202"/>
    <x v="13"/>
    <x v="165"/>
    <x v="184"/>
    <x v="25"/>
    <x v="182"/>
    <n v="14"/>
    <n v="0"/>
    <n v="14"/>
    <n v="673"/>
    <n v="127"/>
    <n v="66"/>
    <n v="83"/>
    <n v="28"/>
    <n v="0"/>
    <n v="244"/>
    <n v="9.8068350668647844E-2"/>
    <n v="0.36255572065378899"/>
    <e v="#N/A"/>
    <e v="#N/A"/>
    <n v="0"/>
    <n v="0.42424242424242425"/>
    <n v="2.0378457059679767E-2"/>
    <n v="4.1604754829123326E-2"/>
    <n v="0.97962154294032022"/>
  </r>
  <r>
    <n v="203"/>
    <x v="17"/>
    <x v="166"/>
    <x v="185"/>
    <x v="21"/>
    <x v="183"/>
    <n v="49"/>
    <n v="4"/>
    <n v="45"/>
    <n v="6550"/>
    <n v="2010"/>
    <n v="1574"/>
    <n v="16799"/>
    <n v="1148"/>
    <n v="13"/>
    <n v="2456"/>
    <n v="0.24030534351145039"/>
    <n v="0.3749618320610687"/>
    <e v="#N/A"/>
    <e v="#N/A"/>
    <n v="1.984732824427481E-3"/>
    <n v="0.72935196950444725"/>
    <n v="7.4253674799212004E-3"/>
    <n v="0.17526717557251908"/>
    <n v="0.99257463252007883"/>
  </r>
  <r>
    <n v="204"/>
    <x v="1"/>
    <x v="167"/>
    <x v="186"/>
    <x v="8"/>
    <x v="184"/>
    <n v="3"/>
    <n v="0"/>
    <n v="3"/>
    <n v="312"/>
    <n v="267"/>
    <n v="122"/>
    <n v="43"/>
    <n v="29"/>
    <n v="0"/>
    <n v="172"/>
    <n v="0.39102564102564102"/>
    <n v="0.55128205128205132"/>
    <e v="#N/A"/>
    <e v="#N/A"/>
    <n v="0"/>
    <n v="0.23770491803278687"/>
    <n v="9.5238095238095247E-3"/>
    <n v="9.2948717948717952E-2"/>
    <n v="0.99047619047619051"/>
  </r>
  <r>
    <n v="205"/>
    <x v="17"/>
    <x v="168"/>
    <x v="187"/>
    <x v="85"/>
    <x v="185"/>
    <n v="4"/>
    <n v="2"/>
    <n v="2"/>
    <n v="123"/>
    <n v="55"/>
    <n v="36"/>
    <n v="365"/>
    <n v="23"/>
    <n v="0"/>
    <n v="71"/>
    <n v="0.29268292682926828"/>
    <n v="0.57723577235772361"/>
    <e v="#N/A"/>
    <e v="#N/A"/>
    <n v="0"/>
    <n v="0.63888888888888884"/>
    <n v="3.1496062992125984E-2"/>
    <n v="0.18699186991869918"/>
    <n v="0.96850393700787396"/>
  </r>
  <r>
    <n v="206"/>
    <x v="5"/>
    <x v="67"/>
    <x v="188"/>
    <x v="110"/>
    <x v="186"/>
    <n v="10"/>
    <n v="3"/>
    <n v="7"/>
    <n v="851"/>
    <n v="501"/>
    <n v="276"/>
    <n v="494"/>
    <n v="145"/>
    <n v="2"/>
    <n v="318"/>
    <n v="0.32432432432432434"/>
    <n v="0.37367802585193888"/>
    <e v="#N/A"/>
    <e v="#N/A"/>
    <n v="2.3501762632197414E-3"/>
    <n v="0.52536231884057971"/>
    <n v="1.1614401858304297E-2"/>
    <n v="0.17038777908343125"/>
    <n v="0.98838559814169569"/>
  </r>
  <r>
    <n v="207"/>
    <x v="17"/>
    <x v="169"/>
    <x v="189"/>
    <x v="8"/>
    <x v="187"/>
    <n v="2"/>
    <n v="0"/>
    <n v="2"/>
    <n v="641"/>
    <n v="129"/>
    <n v="108"/>
    <n v="782"/>
    <n v="66"/>
    <n v="0"/>
    <n v="200"/>
    <n v="0.16848673946957879"/>
    <n v="0.31201248049921998"/>
    <e v="#N/A"/>
    <e v="#N/A"/>
    <n v="0"/>
    <n v="0.61111111111111116"/>
    <n v="3.1104199066874028E-3"/>
    <n v="0.10296411856474259"/>
    <n v="0.99688958009331263"/>
  </r>
  <r>
    <n v="208"/>
    <x v="17"/>
    <x v="170"/>
    <x v="189"/>
    <x v="8"/>
    <x v="188"/>
    <n v="0"/>
    <n v="0"/>
    <n v="0"/>
    <n v="644"/>
    <n v="156"/>
    <n v="128"/>
    <n v="1109"/>
    <n v="76"/>
    <n v="0"/>
    <n v="201"/>
    <n v="0.19875776397515527"/>
    <n v="0.31211180124223603"/>
    <e v="#N/A"/>
    <e v="#N/A"/>
    <n v="0"/>
    <n v="0.59375"/>
    <n v="0"/>
    <n v="0.11801242236024845"/>
    <n v="1"/>
  </r>
  <r>
    <n v="209"/>
    <x v="17"/>
    <x v="170"/>
    <x v="190"/>
    <x v="111"/>
    <x v="189"/>
    <n v="6"/>
    <n v="3"/>
    <n v="3"/>
    <n v="3852"/>
    <n v="696"/>
    <n v="573"/>
    <n v="5397"/>
    <n v="392"/>
    <n v="4"/>
    <n v="2215"/>
    <n v="0.14875389408099687"/>
    <n v="0.57502596053997923"/>
    <e v="#N/A"/>
    <e v="#N/A"/>
    <n v="1.0384215991692627E-3"/>
    <n v="0.68411867364746948"/>
    <n v="1.5552099533437014E-3"/>
    <n v="0.10176531671858775"/>
    <n v="0.99844479004665632"/>
  </r>
  <r>
    <n v="210"/>
    <x v="10"/>
    <x v="171"/>
    <x v="191"/>
    <x v="112"/>
    <x v="190"/>
    <n v="38"/>
    <n v="10"/>
    <n v="28"/>
    <n v="4257"/>
    <n v="1641"/>
    <n v="1080"/>
    <n v="156"/>
    <n v="96"/>
    <n v="8"/>
    <n v="2652"/>
    <n v="0.2536997885835095"/>
    <n v="0.62297392529950668"/>
    <e v="#N/A"/>
    <e v="#N/A"/>
    <n v="1.8792576932111817E-3"/>
    <n v="8.8888888888888892E-2"/>
    <n v="8.8474970896391149E-3"/>
    <n v="2.255109231853418E-2"/>
    <n v="0.99115250291036083"/>
  </r>
  <r>
    <n v="211"/>
    <x v="17"/>
    <x v="172"/>
    <x v="192"/>
    <x v="21"/>
    <x v="191"/>
    <n v="27"/>
    <n v="7"/>
    <n v="20"/>
    <n v="6332"/>
    <n v="2595"/>
    <n v="1977"/>
    <n v="15778"/>
    <n v="1334"/>
    <n v="22"/>
    <n v="2216"/>
    <n v="0.31222362602653192"/>
    <n v="0.34996841440303222"/>
    <e v="#N/A"/>
    <e v="#N/A"/>
    <n v="3.4744156664560958E-3"/>
    <n v="0.67475973697521496"/>
    <n v="4.2459506211668498E-3"/>
    <n v="0.21067593177511054"/>
    <n v="0.99575404937883316"/>
  </r>
  <r>
    <n v="212"/>
    <x v="14"/>
    <x v="173"/>
    <x v="193"/>
    <x v="113"/>
    <x v="192"/>
    <n v="29"/>
    <n v="10"/>
    <n v="19"/>
    <n v="10334"/>
    <n v="3419"/>
    <n v="2481"/>
    <n v="5927"/>
    <n v="1631"/>
    <n v="2"/>
    <n v="5324"/>
    <n v="0.24008128507838203"/>
    <n v="0.51519256822140502"/>
    <e v="#N/A"/>
    <e v="#N/A"/>
    <n v="1.9353590090961874E-4"/>
    <n v="0.65739621120515923"/>
    <n v="2.7984174466853229E-3"/>
    <n v="0.15782852719179408"/>
    <n v="0.9972015825533147"/>
  </r>
  <r>
    <n v="213"/>
    <x v="20"/>
    <x v="174"/>
    <x v="194"/>
    <x v="114"/>
    <x v="193"/>
    <n v="3"/>
    <n v="0"/>
    <n v="3"/>
    <n v="66"/>
    <n v="38"/>
    <n v="24"/>
    <n v="5"/>
    <n v="4"/>
    <n v="0"/>
    <n v="12"/>
    <n v="0.36363636363636365"/>
    <n v="0.18181818181818182"/>
    <e v="#N/A"/>
    <e v="#N/A"/>
    <n v="0"/>
    <n v="0.16666666666666666"/>
    <n v="4.3478260869565216E-2"/>
    <n v="6.0606060606060608E-2"/>
    <n v="0.95652173913043481"/>
  </r>
  <r>
    <n v="214"/>
    <x v="17"/>
    <x v="175"/>
    <x v="195"/>
    <x v="21"/>
    <x v="194"/>
    <n v="17"/>
    <n v="6"/>
    <n v="11"/>
    <n v="6478"/>
    <n v="2205"/>
    <n v="1700"/>
    <n v="1624"/>
    <n v="1164"/>
    <n v="7"/>
    <n v="2352"/>
    <n v="0.26242667489966037"/>
    <n v="0.36307502315529483"/>
    <e v="#N/A"/>
    <e v="#N/A"/>
    <n v="1.0805804260574251E-3"/>
    <n v="0.68470588235294116"/>
    <n v="2.6173979984603539E-3"/>
    <n v="0.1796850879901204"/>
    <n v="0.99738260200153961"/>
  </r>
  <r>
    <n v="215"/>
    <x v="17"/>
    <x v="176"/>
    <x v="196"/>
    <x v="115"/>
    <x v="195"/>
    <n v="14"/>
    <n v="2"/>
    <n v="12"/>
    <n v="216"/>
    <n v="175"/>
    <n v="79"/>
    <n v="814"/>
    <n v="43"/>
    <n v="1"/>
    <n v="87"/>
    <n v="0.36574074074074076"/>
    <n v="0.40277777777777779"/>
    <e v="#N/A"/>
    <e v="#N/A"/>
    <n v="4.6296296296296294E-3"/>
    <n v="0.54430379746835444"/>
    <n v="6.0869565217391307E-2"/>
    <n v="0.19907407407407407"/>
    <n v="0.93913043478260871"/>
  </r>
  <r>
    <n v="216"/>
    <x v="20"/>
    <x v="177"/>
    <x v="197"/>
    <x v="85"/>
    <x v="196"/>
    <n v="0"/>
    <n v="0"/>
    <n v="0"/>
    <n v="6"/>
    <n v="11"/>
    <n v="3"/>
    <n v="2"/>
    <n v="2"/>
    <n v="0"/>
    <n v="2"/>
    <n v="0.5"/>
    <n v="0.33333333333333331"/>
    <e v="#N/A"/>
    <e v="#N/A"/>
    <n v="0"/>
    <n v="0.66666666666666663"/>
    <n v="0"/>
    <n v="0.33333333333333331"/>
    <n v="1"/>
  </r>
  <r>
    <n v="217"/>
    <x v="11"/>
    <x v="178"/>
    <x v="198"/>
    <x v="97"/>
    <x v="197"/>
    <n v="17"/>
    <n v="1"/>
    <n v="16"/>
    <n v="2238"/>
    <n v="772"/>
    <n v="561"/>
    <n v="53"/>
    <n v="42"/>
    <n v="1"/>
    <n v="612"/>
    <n v="0.25067024128686327"/>
    <n v="0.27345844504021449"/>
    <e v="#N/A"/>
    <e v="#N/A"/>
    <n v="4.4682752457551384E-4"/>
    <n v="7.4866310160427801E-2"/>
    <n v="7.5388026607538803E-3"/>
    <n v="1.876675603217158E-2"/>
    <n v="0.99246119733924609"/>
  </r>
  <r>
    <n v="218"/>
    <x v="2"/>
    <x v="179"/>
    <x v="199"/>
    <x v="116"/>
    <x v="198"/>
    <n v="0"/>
    <n v="0"/>
    <n v="0"/>
    <n v="151"/>
    <n v="761"/>
    <n v="104"/>
    <n v="238"/>
    <n v="79"/>
    <n v="0"/>
    <n v="143"/>
    <n v="0.6887417218543046"/>
    <n v="0.94701986754966883"/>
    <n v="0.94701986754966883"/>
    <e v="#N/A"/>
    <n v="0"/>
    <n v="0.75961538461538458"/>
    <n v="0"/>
    <n v="0.52317880794701987"/>
    <n v="1"/>
  </r>
  <r>
    <n v="219"/>
    <x v="13"/>
    <x v="180"/>
    <x v="200"/>
    <x v="117"/>
    <x v="199"/>
    <n v="2"/>
    <n v="0"/>
    <n v="2"/>
    <n v="638"/>
    <n v="384"/>
    <n v="203"/>
    <n v="1583"/>
    <n v="105"/>
    <n v="0"/>
    <n v="197"/>
    <n v="0.31818181818181818"/>
    <n v="0.30877742946708464"/>
    <e v="#N/A"/>
    <e v="#N/A"/>
    <n v="0"/>
    <n v="0.51724137931034486"/>
    <n v="3.1250000000000002E-3"/>
    <n v="0.16457680250783699"/>
    <n v="0.99687499999999996"/>
  </r>
  <r>
    <n v="220"/>
    <x v="17"/>
    <x v="181"/>
    <x v="201"/>
    <x v="118"/>
    <x v="200"/>
    <n v="10"/>
    <n v="1"/>
    <n v="9"/>
    <n v="5525"/>
    <n v="2217"/>
    <n v="1671"/>
    <n v="18074"/>
    <n v="1153"/>
    <n v="5"/>
    <n v="3392"/>
    <n v="0.30244343891402714"/>
    <n v="0.61393665158371036"/>
    <e v="#N/A"/>
    <e v="#N/A"/>
    <n v="9.049773755656109E-4"/>
    <n v="0.6900059844404548"/>
    <n v="1.8066847335140017E-3"/>
    <n v="0.20868778280542988"/>
    <n v="0.99819331526648603"/>
  </r>
  <r>
    <n v="221"/>
    <x v="1"/>
    <x v="182"/>
    <x v="202"/>
    <x v="21"/>
    <x v="201"/>
    <n v="0"/>
    <n v="0"/>
    <n v="0"/>
    <n v="203"/>
    <n v="127"/>
    <n v="63"/>
    <n v="89"/>
    <n v="44"/>
    <n v="0"/>
    <n v="60"/>
    <n v="0.31034482758620691"/>
    <n v="0.29556650246305421"/>
    <e v="#N/A"/>
    <e v="#N/A"/>
    <n v="0"/>
    <n v="0.69841269841269837"/>
    <n v="0"/>
    <n v="0.21674876847290642"/>
    <n v="1"/>
  </r>
  <r>
    <n v="222"/>
    <x v="14"/>
    <x v="183"/>
    <x v="203"/>
    <x v="119"/>
    <x v="202"/>
    <n v="32"/>
    <n v="9"/>
    <n v="23"/>
    <n v="10759"/>
    <n v="3541"/>
    <n v="2649"/>
    <n v="6170"/>
    <n v="1765"/>
    <n v="11"/>
    <n v="2345"/>
    <n v="0.24621247327818571"/>
    <n v="0.21795705920624595"/>
    <e v="#N/A"/>
    <e v="#N/A"/>
    <n v="1.0223998512872944E-3"/>
    <n v="0.6662891657229143"/>
    <n v="2.9654341580947086E-3"/>
    <n v="0.16404870341109767"/>
    <n v="0.99703456584190531"/>
  </r>
  <r>
    <n v="223"/>
    <x v="1"/>
    <x v="184"/>
    <x v="204"/>
    <x v="120"/>
    <x v="203"/>
    <n v="0"/>
    <n v="0"/>
    <n v="0"/>
    <n v="1027"/>
    <n v="731"/>
    <n v="381"/>
    <n v="371"/>
    <n v="199"/>
    <n v="1"/>
    <n v="384"/>
    <n v="0.37098344693281404"/>
    <n v="0.37390457643622199"/>
    <e v="#N/A"/>
    <e v="#N/A"/>
    <n v="9.7370983446932818E-4"/>
    <n v="0.52230971128608927"/>
    <n v="0"/>
    <n v="0.19376825705939629"/>
    <n v="1"/>
  </r>
  <r>
    <n v="224"/>
    <x v="17"/>
    <x v="185"/>
    <x v="205"/>
    <x v="121"/>
    <x v="204"/>
    <n v="8"/>
    <n v="6"/>
    <n v="2"/>
    <n v="5469"/>
    <n v="1990"/>
    <n v="1551"/>
    <n v="17760"/>
    <n v="1181"/>
    <n v="8"/>
    <n v="3334"/>
    <n v="0.28359846407021394"/>
    <n v="0.60961784604132385"/>
    <e v="#N/A"/>
    <e v="#N/A"/>
    <n v="1.4627902724446882E-3"/>
    <n v="0.76144422952933588"/>
    <n v="1.4606536425050211E-3"/>
    <n v="0.21594441396964711"/>
    <n v="0.99853934635749497"/>
  </r>
  <r>
    <n v="225"/>
    <x v="13"/>
    <x v="186"/>
    <x v="206"/>
    <x v="110"/>
    <x v="205"/>
    <n v="8"/>
    <n v="5"/>
    <n v="3"/>
    <n v="5196"/>
    <n v="2334"/>
    <n v="1764"/>
    <n v="3208"/>
    <n v="1340"/>
    <n v="8"/>
    <n v="3061"/>
    <n v="0.33949191685912239"/>
    <n v="0.5891070053887606"/>
    <e v="#N/A"/>
    <e v="#N/A"/>
    <n v="1.539645881447267E-3"/>
    <n v="0.75963718820861681"/>
    <n v="1.5372790161414297E-3"/>
    <n v="0.25789068514241725"/>
    <n v="0.9984627209838585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8">
  <r>
    <n v="1"/>
    <n v="166842821"/>
    <s v="Manager"/>
    <x v="0"/>
    <s v="Aseptic Technologies"/>
    <x v="0"/>
    <x v="0"/>
    <x v="0"/>
    <x v="0"/>
    <d v="2025-05-24T00:00:00"/>
    <x v="0"/>
  </r>
  <r>
    <n v="2"/>
    <n v="166549179"/>
    <s v="C-suite"/>
    <x v="1"/>
    <s v="Cell Matters / Cryoport Systems"/>
    <x v="0"/>
    <x v="0"/>
    <x v="0"/>
    <x v="1"/>
    <d v="2025-09-28T00:00:00"/>
    <x v="0"/>
  </r>
  <r>
    <n v="3"/>
    <n v="166841923"/>
    <s v="C-suite"/>
    <x v="1"/>
    <s v="Cellistic"/>
    <x v="0"/>
    <x v="0"/>
    <x v="0"/>
    <x v="2"/>
    <d v="2025-09-29T00:00:00"/>
    <x v="0"/>
  </r>
  <r>
    <n v="4"/>
    <n v="166553421"/>
    <s v="C-suite"/>
    <x v="1"/>
    <s v="Exothera"/>
    <x v="0"/>
    <x v="0"/>
    <x v="0"/>
    <x v="3"/>
    <d v="2025-10-01T00:00:00"/>
    <x v="0"/>
  </r>
  <r>
    <n v="5"/>
    <n v="166553433"/>
    <s v="Director"/>
    <x v="2"/>
    <s v="Exothera"/>
    <x v="0"/>
    <x v="0"/>
    <x v="0"/>
    <x v="4"/>
    <d v="2025-10-02T00:00:00"/>
    <x v="0"/>
  </r>
  <r>
    <n v="6"/>
    <n v="166553437"/>
    <s v="VP Business &amp; Marketing"/>
    <x v="3"/>
    <s v="Exothera"/>
    <x v="0"/>
    <x v="0"/>
    <x v="0"/>
    <x v="5"/>
    <d v="2025-10-03T00:00:00"/>
    <x v="0"/>
  </r>
  <r>
    <n v="7"/>
    <n v="143989350"/>
    <s v="C-suite"/>
    <x v="1"/>
    <s v="MyCellHub"/>
    <x v="0"/>
    <x v="0"/>
    <x v="0"/>
    <x v="6"/>
    <d v="2025-10-04T00:00:00"/>
    <x v="0"/>
  </r>
  <r>
    <n v="8"/>
    <n v="161477230"/>
    <s v="Co-founder"/>
    <x v="4"/>
    <s v="MyCellHub"/>
    <x v="0"/>
    <x v="0"/>
    <x v="0"/>
    <x v="7"/>
    <d v="2025-10-05T00:00:00"/>
    <x v="0"/>
  </r>
  <r>
    <n v="9"/>
    <n v="166841295"/>
    <s v="Director"/>
    <x v="2"/>
    <s v="AllosteRx Capital"/>
    <x v="1"/>
    <x v="1"/>
    <x v="0"/>
    <x v="8"/>
    <d v="2025-10-06T00:00:00"/>
    <x v="0"/>
  </r>
  <r>
    <n v="10"/>
    <n v="166552585"/>
    <s v="Manager"/>
    <x v="0"/>
    <s v="BriGene Biosciences"/>
    <x v="2"/>
    <x v="1"/>
    <x v="0"/>
    <x v="9"/>
    <d v="2021-11-07T00:00:00"/>
    <x v="0"/>
  </r>
  <r>
    <n v="11"/>
    <n v="166552637"/>
    <s v="C-suite"/>
    <x v="1"/>
    <s v="Canadian Advanced Therapies Training Institute (CATTI)"/>
    <x v="3"/>
    <x v="2"/>
    <x v="1"/>
    <x v="10"/>
    <d v="2021-11-07T00:00:00"/>
    <x v="0"/>
  </r>
  <r>
    <n v="12"/>
    <n v="166549187"/>
    <s v="VP Communications and Marketing"/>
    <x v="3"/>
    <s v="CCRM"/>
    <x v="0"/>
    <x v="1"/>
    <x v="0"/>
    <x v="11"/>
    <d v="2021-08-20T00:00:00"/>
    <x v="0"/>
  </r>
  <r>
    <n v="13"/>
    <n v="166553377"/>
    <s v="Director"/>
    <x v="2"/>
    <s v="Canadian Advanced Therapies Training Institute (CATTI)"/>
    <x v="3"/>
    <x v="2"/>
    <x v="1"/>
    <x v="11"/>
    <d v="2021-08-19T00:00:00"/>
    <x v="0"/>
  </r>
  <r>
    <n v="14"/>
    <n v="166549181"/>
    <s v="C-suite"/>
    <x v="1"/>
    <s v="CCRM"/>
    <x v="0"/>
    <x v="1"/>
    <x v="0"/>
    <x v="12"/>
    <d v="2021-08-21T00:00:00"/>
    <x v="0"/>
  </r>
  <r>
    <n v="15"/>
    <n v="166549189"/>
    <s v="C-suite"/>
    <x v="1"/>
    <s v="CCRM"/>
    <x v="0"/>
    <x v="1"/>
    <x v="0"/>
    <x v="13"/>
    <d v="2021-08-22T00:00:00"/>
    <x v="0"/>
  </r>
  <r>
    <n v="16"/>
    <n v="168100208"/>
    <s v="Head, Innovation"/>
    <x v="5"/>
    <s v="Danaher Corporation"/>
    <x v="2"/>
    <x v="1"/>
    <x v="0"/>
    <x v="14"/>
    <d v="2021-08-23T00:00:00"/>
    <x v="0"/>
  </r>
  <r>
    <n v="17"/>
    <n v="166549969"/>
    <s v="Sales"/>
    <x v="4"/>
    <s v="Labworks International "/>
    <x v="2"/>
    <x v="1"/>
    <x v="0"/>
    <x v="15"/>
    <d v="2021-08-24T00:00:00"/>
    <x v="0"/>
  </r>
  <r>
    <n v="18"/>
    <n v="168099452"/>
    <m/>
    <x v="6"/>
    <s v="McMaster Innovation Park"/>
    <x v="3"/>
    <x v="1"/>
    <x v="0"/>
    <x v="16"/>
    <d v="2021-08-25T00:00:00"/>
    <x v="0"/>
  </r>
  <r>
    <n v="19"/>
    <n v="169597069"/>
    <s v="Manager"/>
    <x v="0"/>
    <s v="OmniaBio"/>
    <x v="0"/>
    <x v="1"/>
    <x v="0"/>
    <x v="17"/>
    <d v="2021-08-26T00:00:00"/>
    <x v="0"/>
  </r>
  <r>
    <n v="20"/>
    <n v="169596508"/>
    <s v="Senior Director Process &amp; Analytical Development"/>
    <x v="7"/>
    <s v="OmniaBio"/>
    <x v="0"/>
    <x v="3"/>
    <x v="0"/>
    <x v="18"/>
    <d v="2021-08-29T00:00:00"/>
    <x v="0"/>
  </r>
  <r>
    <n v="21"/>
    <n v="169597114"/>
    <s v="Associate"/>
    <x v="8"/>
    <s v="OmniaBio"/>
    <x v="0"/>
    <x v="3"/>
    <x v="0"/>
    <x v="18"/>
    <d v="2021-08-30T00:00:00"/>
    <x v="0"/>
  </r>
  <r>
    <n v="22"/>
    <n v="169597189"/>
    <s v="Director"/>
    <x v="2"/>
    <s v="OmniaBio"/>
    <x v="0"/>
    <x v="1"/>
    <x v="0"/>
    <x v="18"/>
    <d v="2021-08-27T00:00:00"/>
    <x v="0"/>
  </r>
  <r>
    <n v="23"/>
    <n v="169597204"/>
    <s v="Director"/>
    <x v="2"/>
    <s v="OmniaBio"/>
    <x v="0"/>
    <x v="3"/>
    <x v="0"/>
    <x v="19"/>
    <d v="2021-08-31T00:00:00"/>
    <x v="0"/>
  </r>
  <r>
    <n v="24"/>
    <n v="169597213"/>
    <s v="Manager"/>
    <x v="0"/>
    <s v="STEMCELL Technologies"/>
    <x v="0"/>
    <x v="3"/>
    <x v="0"/>
    <x v="20"/>
    <d v="2021-09-01T00:00:00"/>
    <x v="0"/>
  </r>
  <r>
    <n v="25"/>
    <n v="166551661"/>
    <s v="Manager"/>
    <x v="0"/>
    <m/>
    <x v="0"/>
    <x v="3"/>
    <x v="0"/>
    <x v="21"/>
    <d v="2021-09-02T00:00:00"/>
    <x v="0"/>
  </r>
  <r>
    <n v="26"/>
    <n v="166551663"/>
    <s v="Manager"/>
    <x v="0"/>
    <s v="STEMCELL Technologies"/>
    <x v="0"/>
    <x v="3"/>
    <x v="0"/>
    <x v="22"/>
    <d v="2021-09-03T00:00:00"/>
    <x v="1"/>
  </r>
  <r>
    <n v="27"/>
    <n v="143035126"/>
    <s v="Manager"/>
    <x v="0"/>
    <s v="STEMCELL Technologies"/>
    <x v="0"/>
    <x v="3"/>
    <x v="0"/>
    <x v="23"/>
    <d v="2021-09-04T00:00:00"/>
    <x v="1"/>
  </r>
  <r>
    <n v="28"/>
    <n v="166551657"/>
    <s v="Scientific"/>
    <x v="4"/>
    <s v="STEMELL Technologies"/>
    <x v="0"/>
    <x v="3"/>
    <x v="0"/>
    <x v="24"/>
    <d v="2021-09-05T00:00:00"/>
    <x v="1"/>
  </r>
  <r>
    <n v="29"/>
    <n v="166549245"/>
    <s v="Director"/>
    <x v="2"/>
    <s v="Turnstone Biologics"/>
    <x v="4"/>
    <x v="3"/>
    <x v="0"/>
    <x v="25"/>
    <d v="2021-09-06T00:00:00"/>
    <x v="1"/>
  </r>
  <r>
    <n v="30"/>
    <n v="170207278"/>
    <s v="Director"/>
    <x v="2"/>
    <s v="Cells for Cells"/>
    <x v="5"/>
    <x v="4"/>
    <x v="0"/>
    <x v="26"/>
    <d v="2021-09-07T00:00:00"/>
    <x v="1"/>
  </r>
  <r>
    <n v="31"/>
    <n v="167222352"/>
    <s v="Professor"/>
    <x v="4"/>
    <s v="University of los Andes"/>
    <x v="3"/>
    <x v="4"/>
    <x v="0"/>
    <x v="27"/>
    <d v="2021-09-08T00:00:00"/>
    <x v="1"/>
  </r>
  <r>
    <n v="32"/>
    <n v="166549201"/>
    <s v="Director"/>
    <x v="2"/>
    <s v="Hypertrust Patient Data Care"/>
    <x v="2"/>
    <x v="5"/>
    <x v="0"/>
    <x v="28"/>
    <d v="2021-09-26T00:00:00"/>
    <x v="1"/>
  </r>
  <r>
    <n v="33"/>
    <n v="166843391"/>
    <s v="Principal Consultant"/>
    <x v="9"/>
    <s v="Körber Pharma Software"/>
    <x v="0"/>
    <x v="5"/>
    <x v="0"/>
    <x v="29"/>
    <d v="2021-09-27T00:00:00"/>
    <x v="1"/>
  </r>
  <r>
    <n v="34"/>
    <n v="166843387"/>
    <s v="Head of Business Development"/>
    <x v="5"/>
    <s v="KyooBe Tech"/>
    <x v="0"/>
    <x v="5"/>
    <x v="0"/>
    <x v="30"/>
    <d v="2021-09-28T00:00:00"/>
    <x v="1"/>
  </r>
  <r>
    <n v="35"/>
    <n v="166843399"/>
    <s v="C-suite"/>
    <x v="1"/>
    <s v="KyooBe Tech"/>
    <x v="0"/>
    <x v="5"/>
    <x v="0"/>
    <x v="31"/>
    <d v="2021-09-29T00:00:00"/>
    <x v="1"/>
  </r>
  <r>
    <n v="36"/>
    <n v="166549983"/>
    <s v="Senior Director Business Development"/>
    <x v="7"/>
    <s v="Lonza Biologics"/>
    <x v="0"/>
    <x v="5"/>
    <x v="0"/>
    <x v="32"/>
    <d v="2021-09-30T00:00:00"/>
    <x v="1"/>
  </r>
  <r>
    <n v="37"/>
    <n v="169597093"/>
    <s v="Head of Sales"/>
    <x v="5"/>
    <s v="Sartorius CellGenix"/>
    <x v="0"/>
    <x v="5"/>
    <x v="0"/>
    <x v="33"/>
    <d v="2021-10-01T00:00:00"/>
    <x v="1"/>
  </r>
  <r>
    <n v="38"/>
    <n v="166549203"/>
    <s v="Director"/>
    <x v="2"/>
    <s v="ICCBBA"/>
    <x v="6"/>
    <x v="6"/>
    <x v="2"/>
    <x v="34"/>
    <d v="2021-10-03T00:00:00"/>
    <x v="1"/>
  </r>
  <r>
    <n v="39"/>
    <n v="166842809"/>
    <s v="Director"/>
    <x v="2"/>
    <s v="Avectas"/>
    <x v="0"/>
    <x v="7"/>
    <x v="0"/>
    <x v="35"/>
    <d v="2021-10-05T00:00:00"/>
    <x v="1"/>
  </r>
  <r>
    <n v="40"/>
    <n v="166551359"/>
    <s v="Principal Scientist"/>
    <x v="9"/>
    <s v="Avectas"/>
    <x v="0"/>
    <x v="7"/>
    <x v="0"/>
    <x v="36"/>
    <d v="2021-10-06T00:00:00"/>
    <x v="1"/>
  </r>
  <r>
    <n v="41"/>
    <n v="157994656"/>
    <s v="Senior Process Engineer "/>
    <x v="7"/>
    <s v="Avectas"/>
    <x v="0"/>
    <x v="7"/>
    <x v="0"/>
    <x v="37"/>
    <d v="2021-10-07T00:00:00"/>
    <x v="1"/>
  </r>
  <r>
    <n v="42"/>
    <n v="165389240"/>
    <m/>
    <x v="6"/>
    <s v="Avectas"/>
    <x v="0"/>
    <x v="7"/>
    <x v="0"/>
    <x v="38"/>
    <d v="2021-10-08T00:00:00"/>
    <x v="1"/>
  </r>
  <r>
    <n v="43"/>
    <n v="166549195"/>
    <s v="C-suite"/>
    <x v="1"/>
    <s v="Hybrid Concepts International"/>
    <x v="2"/>
    <x v="6"/>
    <x v="2"/>
    <x v="38"/>
    <d v="2021-10-02T00:00:00"/>
    <x v="1"/>
  </r>
  <r>
    <n v="44"/>
    <n v="166842321"/>
    <s v="Director"/>
    <x v="2"/>
    <s v="Ingenious e-Brain"/>
    <x v="2"/>
    <x v="6"/>
    <x v="2"/>
    <x v="38"/>
    <d v="2021-10-04T00:00:00"/>
    <x v="1"/>
  </r>
  <r>
    <n v="45"/>
    <n v="157994142"/>
    <s v="VP operations"/>
    <x v="3"/>
    <s v="Matricelf"/>
    <x v="4"/>
    <x v="8"/>
    <x v="0"/>
    <x v="39"/>
    <d v="2021-10-14T00:00:00"/>
    <x v="1"/>
  </r>
  <r>
    <n v="46"/>
    <n v="165389244"/>
    <m/>
    <x v="6"/>
    <s v="Avectas"/>
    <x v="0"/>
    <x v="7"/>
    <x v="0"/>
    <x v="39"/>
    <d v="2021-10-09T00:00:00"/>
    <x v="1"/>
  </r>
  <r>
    <n v="47"/>
    <n v="166552539"/>
    <s v="VP President development "/>
    <x v="3"/>
    <s v="Adva biotechnology "/>
    <x v="0"/>
    <x v="8"/>
    <x v="0"/>
    <x v="39"/>
    <d v="2021-10-11T00:00:00"/>
    <x v="1"/>
  </r>
  <r>
    <n v="48"/>
    <n v="166552547"/>
    <s v="VP  Business Development &amp; Legal Affairs "/>
    <x v="3"/>
    <s v="Adva biotechnology "/>
    <x v="0"/>
    <x v="8"/>
    <x v="0"/>
    <x v="39"/>
    <d v="2021-10-12T00:00:00"/>
    <x v="1"/>
  </r>
  <r>
    <n v="49"/>
    <n v="166553373"/>
    <s v="Procurement"/>
    <x v="4"/>
    <s v="BMS"/>
    <x v="7"/>
    <x v="7"/>
    <x v="0"/>
    <x v="39"/>
    <d v="2021-10-10T00:00:00"/>
    <x v="1"/>
  </r>
  <r>
    <n v="50"/>
    <n v="166554229"/>
    <s v="Founder"/>
    <x v="10"/>
    <s v="Adva biotechnology "/>
    <x v="0"/>
    <x v="8"/>
    <x v="0"/>
    <x v="39"/>
    <d v="2021-10-13T00:00:00"/>
    <x v="1"/>
  </r>
  <r>
    <n v="51"/>
    <n v="169597249"/>
    <s v="C-suite"/>
    <x v="1"/>
    <s v="Pluri"/>
    <x v="4"/>
    <x v="8"/>
    <x v="0"/>
    <x v="40"/>
    <d v="2021-10-15T00:00:00"/>
    <x v="1"/>
  </r>
  <r>
    <n v="52"/>
    <n v="166554225"/>
    <s v="Director"/>
    <x v="2"/>
    <s v="AGC Biologics"/>
    <x v="0"/>
    <x v="3"/>
    <x v="0"/>
    <x v="41"/>
    <d v="2021-10-16T00:00:00"/>
    <x v="1"/>
  </r>
  <r>
    <n v="53"/>
    <n v="166549191"/>
    <m/>
    <x v="6"/>
    <s v="CDMO Cell and Gene by Eurofins "/>
    <x v="2"/>
    <x v="3"/>
    <x v="0"/>
    <x v="42"/>
    <d v="2021-10-18T00:00:00"/>
    <x v="1"/>
  </r>
  <r>
    <n v="54"/>
    <n v="166842311"/>
    <s v="Manager"/>
    <x v="0"/>
    <s v="InnovaVector"/>
    <x v="2"/>
    <x v="3"/>
    <x v="0"/>
    <x v="43"/>
    <d v="2021-10-19T00:00:00"/>
    <x v="1"/>
  </r>
  <r>
    <n v="55"/>
    <n v="166843397"/>
    <s v="C-suite"/>
    <x v="1"/>
    <s v="Knowledge Palette"/>
    <x v="0"/>
    <x v="3"/>
    <x v="0"/>
    <x v="44"/>
    <d v="2021-10-20T00:00:00"/>
    <x v="1"/>
  </r>
  <r>
    <n v="56"/>
    <n v="170959672"/>
    <s v="C-suite"/>
    <x v="1"/>
    <s v="Matrixome"/>
    <x v="0"/>
    <x v="3"/>
    <x v="0"/>
    <x v="45"/>
    <d v="2021-10-21T00:00:00"/>
    <x v="1"/>
  </r>
  <r>
    <n v="57"/>
    <n v="169597369"/>
    <s v="Business development"/>
    <x v="4"/>
    <s v="SONY Corporation"/>
    <x v="0"/>
    <x v="3"/>
    <x v="0"/>
    <x v="46"/>
    <d v="2021-10-22T00:00:00"/>
    <x v="1"/>
  </r>
  <r>
    <n v="58"/>
    <n v="169597210"/>
    <s v="Director"/>
    <x v="2"/>
    <s v="Novo Nordisk"/>
    <x v="7"/>
    <x v="4"/>
    <x v="0"/>
    <x v="47"/>
    <d v="2024-09-09T00:00:00"/>
    <x v="1"/>
  </r>
  <r>
    <n v="59"/>
    <n v="166553425"/>
    <s v="C-suite"/>
    <x v="1"/>
    <s v="Excellos"/>
    <x v="2"/>
    <x v="9"/>
    <x v="0"/>
    <x v="48"/>
    <d v="2024-09-10T00:00:00"/>
    <x v="1"/>
  </r>
  <r>
    <n v="60"/>
    <n v="143026302"/>
    <s v="Senior Scientist "/>
    <x v="7"/>
    <s v="908 Devices"/>
    <x v="2"/>
    <x v="5"/>
    <x v="0"/>
    <x v="49"/>
    <d v="2024-09-11T00:00:00"/>
    <x v="1"/>
  </r>
  <r>
    <n v="61"/>
    <n v="148461426"/>
    <s v="Director"/>
    <x v="2"/>
    <s v="MAK-SYSTEM"/>
    <x v="0"/>
    <x v="9"/>
    <x v="0"/>
    <x v="49"/>
    <d v="2024-09-12T00:00:00"/>
    <x v="1"/>
  </r>
  <r>
    <n v="62"/>
    <n v="166553399"/>
    <s v="Manager"/>
    <x v="0"/>
    <s v="bioMérieux"/>
    <x v="0"/>
    <x v="9"/>
    <x v="0"/>
    <x v="50"/>
    <d v="2024-09-13T00:00:00"/>
    <x v="1"/>
  </r>
  <r>
    <n v="63"/>
    <n v="166841921"/>
    <s v="Executive VP CMC and Manufacturing"/>
    <x v="11"/>
    <s v="Cellectis"/>
    <x v="4"/>
    <x v="9"/>
    <x v="0"/>
    <x v="51"/>
    <d v="2024-09-14T00:00:00"/>
    <x v="1"/>
  </r>
  <r>
    <n v="64"/>
    <n v="169597054"/>
    <s v="Manager"/>
    <x v="0"/>
    <s v="Pall Corporation"/>
    <x v="0"/>
    <x v="10"/>
    <x v="3"/>
    <x v="52"/>
    <d v="2024-09-15T00:00:00"/>
    <x v="1"/>
  </r>
  <r>
    <n v="65"/>
    <n v="168100619"/>
    <s v="C-suite"/>
    <x v="1"/>
    <s v="Polyplus"/>
    <x v="0"/>
    <x v="9"/>
    <x v="0"/>
    <x v="53"/>
    <d v="2024-09-16T00:00:00"/>
    <x v="1"/>
  </r>
  <r>
    <n v="66"/>
    <n v="166841267"/>
    <s v="VP Bioanalytics R&amp;D"/>
    <x v="3"/>
    <s v="908 Devices"/>
    <x v="2"/>
    <x v="5"/>
    <x v="0"/>
    <x v="54"/>
    <d v="2024-09-17T00:00:00"/>
    <x v="1"/>
  </r>
  <r>
    <n v="67"/>
    <n v="166842779"/>
    <s v="Head of Cell &amp; Gene Therapy"/>
    <x v="5"/>
    <s v="Arvato Supply Chain Solutions"/>
    <x v="2"/>
    <x v="5"/>
    <x v="0"/>
    <x v="55"/>
    <d v="2024-09-18T00:00:00"/>
    <x v="1"/>
  </r>
  <r>
    <n v="68"/>
    <n v="166842795"/>
    <s v="VP Sales &amp; Business Development"/>
    <x v="3"/>
    <s v="Arvato Supply Chain Solutions"/>
    <x v="2"/>
    <x v="5"/>
    <x v="0"/>
    <x v="55"/>
    <d v="2024-09-19T00:00:00"/>
    <x v="1"/>
  </r>
  <r>
    <n v="69"/>
    <n v="166553359"/>
    <s v="Director"/>
    <x v="2"/>
    <s v="Barkey"/>
    <x v="0"/>
    <x v="5"/>
    <x v="0"/>
    <x v="56"/>
    <d v="2024-09-20T00:00:00"/>
    <x v="1"/>
  </r>
  <r>
    <n v="70"/>
    <n v="166552609"/>
    <s v="Principal Consultant"/>
    <x v="9"/>
    <s v="Bausch+Stroebel"/>
    <x v="0"/>
    <x v="5"/>
    <x v="0"/>
    <x v="57"/>
    <d v="2024-09-21T00:00:00"/>
    <x v="1"/>
  </r>
  <r>
    <n v="71"/>
    <n v="166552567"/>
    <s v="Principal Consultant"/>
    <x v="9"/>
    <s v="Biopharma Excellence"/>
    <x v="0"/>
    <x v="5"/>
    <x v="0"/>
    <x v="58"/>
    <d v="2024-09-22T00:00:00"/>
    <x v="1"/>
  </r>
  <r>
    <n v="72"/>
    <n v="169596430"/>
    <s v="Head of Department GMP Cell and Gene Therapy"/>
    <x v="5"/>
    <s v="Fraunhofer IZI"/>
    <x v="2"/>
    <x v="5"/>
    <x v="0"/>
    <x v="59"/>
    <d v="2024-09-23T00:00:00"/>
    <x v="1"/>
  </r>
  <r>
    <n v="73"/>
    <n v="169596451"/>
    <s v="Head of GMP Cell and Gene Therapy"/>
    <x v="5"/>
    <s v="Fraunhofer IZI"/>
    <x v="2"/>
    <x v="5"/>
    <x v="0"/>
    <x v="60"/>
    <d v="2024-09-24T00:00:00"/>
    <x v="1"/>
  </r>
  <r>
    <n v="74"/>
    <n v="166843401"/>
    <s v="VP"/>
    <x v="3"/>
    <s v="Knowledge Palette"/>
    <x v="0"/>
    <x v="3"/>
    <x v="0"/>
    <x v="61"/>
    <d v="2024-09-25T00:00:00"/>
    <x v="1"/>
  </r>
  <r>
    <n v="75"/>
    <n v="166553469"/>
    <s v="C-suite"/>
    <x v="1"/>
    <s v="Longeveron"/>
    <x v="4"/>
    <x v="3"/>
    <x v="0"/>
    <x v="62"/>
    <d v="2024-09-26T00:00:00"/>
    <x v="1"/>
  </r>
  <r>
    <n v="76"/>
    <n v="166843461"/>
    <s v="C-suite"/>
    <x v="1"/>
    <s v="Luminary Therapeutics"/>
    <x v="4"/>
    <x v="3"/>
    <x v="0"/>
    <x v="63"/>
    <d v="2024-09-27T00:00:00"/>
    <x v="1"/>
  </r>
  <r>
    <n v="77"/>
    <n v="159647991"/>
    <s v="Global Head of Sales and Marketing"/>
    <x v="5"/>
    <s v="Minaris Regenerative Medicine GmbH"/>
    <x v="0"/>
    <x v="3"/>
    <x v="0"/>
    <x v="64"/>
    <d v="2024-09-28T00:00:00"/>
    <x v="1"/>
  </r>
  <r>
    <n v="78"/>
    <n v="136443829"/>
    <s v="Head Business Development "/>
    <x v="5"/>
    <s v="Minaris Regenerative Medicine USA"/>
    <x v="0"/>
    <x v="3"/>
    <x v="0"/>
    <x v="65"/>
    <d v="2024-09-29T00:00:00"/>
    <x v="1"/>
  </r>
  <r>
    <n v="79"/>
    <n v="155691264"/>
    <s v="C-suite"/>
    <x v="1"/>
    <s v="Mirus Bio"/>
    <x v="2"/>
    <x v="10"/>
    <x v="3"/>
    <x v="66"/>
    <d v="2024-09-30T00:00:00"/>
    <x v="1"/>
  </r>
  <r>
    <n v="80"/>
    <n v="165595234"/>
    <m/>
    <x v="6"/>
    <s v="Mirus Bio"/>
    <x v="2"/>
    <x v="7"/>
    <x v="0"/>
    <x v="67"/>
    <d v="2021-07-03T00:00:00"/>
    <x v="1"/>
  </r>
  <r>
    <n v="81"/>
    <n v="170932831"/>
    <s v="Manager"/>
    <x v="0"/>
    <s v="Moffitt Cancer Center"/>
    <x v="2"/>
    <x v="7"/>
    <x v="0"/>
    <x v="68"/>
    <d v="2021-07-04T00:00:00"/>
    <x v="1"/>
  </r>
  <r>
    <n v="82"/>
    <n v="143036416"/>
    <s v="Manager"/>
    <x v="0"/>
    <s v="Moffitt Cancer Center"/>
    <x v="2"/>
    <x v="7"/>
    <x v="0"/>
    <x v="69"/>
    <d v="2021-07-05T00:00:00"/>
    <x v="1"/>
  </r>
  <r>
    <n v="83"/>
    <n v="168543578"/>
    <m/>
    <x v="6"/>
    <s v="MsaterControl"/>
    <x v="2"/>
    <x v="7"/>
    <x v="0"/>
    <x v="70"/>
    <d v="2021-07-06T00:00:00"/>
    <x v="1"/>
  </r>
  <r>
    <n v="84"/>
    <n v="166551717"/>
    <s v="Director"/>
    <x v="2"/>
    <s v="Thermo Fisher Scientific"/>
    <x v="0"/>
    <x v="11"/>
    <x v="0"/>
    <x v="71"/>
    <d v="2021-07-16T00:00:00"/>
    <x v="1"/>
  </r>
  <r>
    <n v="85"/>
    <n v="169597096"/>
    <s v="Representative"/>
    <x v="4"/>
    <s v="Nordmark Biochemicals"/>
    <x v="0"/>
    <x v="7"/>
    <x v="0"/>
    <x v="71"/>
    <d v="2021-07-09T00:00:00"/>
    <x v="1"/>
  </r>
  <r>
    <n v="86"/>
    <n v="169597156"/>
    <s v="Principal"/>
    <x v="9"/>
    <s v="NegotiumBio"/>
    <x v="0"/>
    <x v="7"/>
    <x v="0"/>
    <x v="71"/>
    <d v="2021-07-07T00:00:00"/>
    <x v="1"/>
  </r>
  <r>
    <n v="87"/>
    <n v="169597243"/>
    <s v="Head of Nordmark Biochemicals"/>
    <x v="5"/>
    <s v="Nordmark Biochemicals"/>
    <x v="0"/>
    <x v="7"/>
    <x v="0"/>
    <x v="71"/>
    <d v="2021-07-08T00:00:00"/>
    <x v="1"/>
  </r>
  <r>
    <n v="88"/>
    <n v="169597459"/>
    <s v="VP Global Sales and Corporate Development"/>
    <x v="3"/>
    <s v="NorthX Biologics"/>
    <x v="2"/>
    <x v="11"/>
    <x v="0"/>
    <x v="71"/>
    <d v="2021-07-14T00:00:00"/>
    <x v="1"/>
  </r>
  <r>
    <n v="89"/>
    <n v="169597258"/>
    <s v="Co-founder"/>
    <x v="4"/>
    <s v="Northislet"/>
    <x v="2"/>
    <x v="7"/>
    <x v="0"/>
    <x v="72"/>
    <d v="2021-07-10T00:00:00"/>
    <x v="1"/>
  </r>
  <r>
    <n v="90"/>
    <n v="169596496"/>
    <s v="VP- US Business Development"/>
    <x v="3"/>
    <s v="NorthX Biologics"/>
    <x v="2"/>
    <x v="11"/>
    <x v="0"/>
    <x v="73"/>
    <d v="2021-07-15T00:00:00"/>
    <x v="1"/>
  </r>
  <r>
    <n v="91"/>
    <n v="169597138"/>
    <s v="Manager"/>
    <x v="0"/>
    <s v="Novo Nordisk"/>
    <x v="7"/>
    <x v="11"/>
    <x v="0"/>
    <x v="74"/>
    <d v="2021-07-17T00:00:00"/>
    <x v="1"/>
  </r>
  <r>
    <n v="92"/>
    <n v="169597057"/>
    <s v="Board Member"/>
    <x v="4"/>
    <s v="Oklahoma Department of Commerce"/>
    <x v="2"/>
    <x v="11"/>
    <x v="0"/>
    <x v="75"/>
    <d v="2021-07-18T00:00:00"/>
    <x v="1"/>
  </r>
  <r>
    <n v="93"/>
    <n v="169597099"/>
    <s v="C-suite"/>
    <x v="1"/>
    <s v="OkuloVision"/>
    <x v="2"/>
    <x v="1"/>
    <x v="0"/>
    <x v="76"/>
    <d v="2021-07-19T00:00:00"/>
    <x v="1"/>
  </r>
  <r>
    <n v="94"/>
    <n v="169597135"/>
    <s v="C-suite"/>
    <x v="1"/>
    <s v="OmniaBio"/>
    <x v="0"/>
    <x v="1"/>
    <x v="0"/>
    <x v="77"/>
    <d v="2021-07-20T00:00:00"/>
    <x v="1"/>
  </r>
  <r>
    <n v="95"/>
    <n v="169597348"/>
    <s v="Manager"/>
    <x v="0"/>
    <s v="Optima Pharma"/>
    <x v="0"/>
    <x v="1"/>
    <x v="0"/>
    <x v="78"/>
    <d v="2021-07-21T00:00:00"/>
    <x v="1"/>
  </r>
  <r>
    <n v="96"/>
    <n v="169597039"/>
    <s v="Director"/>
    <x v="2"/>
    <s v="Optima Pharma"/>
    <x v="0"/>
    <x v="1"/>
    <x v="0"/>
    <x v="79"/>
    <d v="2021-07-22T00:00:00"/>
    <x v="1"/>
  </r>
  <r>
    <n v="97"/>
    <n v="169596487"/>
    <s v="Manager"/>
    <x v="0"/>
    <s v="Optima Pharma"/>
    <x v="0"/>
    <x v="1"/>
    <x v="0"/>
    <x v="80"/>
    <d v="2021-07-23T00:00:00"/>
    <x v="1"/>
  </r>
  <r>
    <n v="98"/>
    <n v="169597240"/>
    <m/>
    <x v="6"/>
    <s v="Orchard Therapeutics"/>
    <x v="4"/>
    <x v="1"/>
    <x v="0"/>
    <x v="81"/>
    <d v="2021-07-24T00:00:00"/>
    <x v="1"/>
  </r>
  <r>
    <n v="99"/>
    <n v="168101249"/>
    <m/>
    <x v="6"/>
    <s v="ORFLO Technologies"/>
    <x v="2"/>
    <x v="1"/>
    <x v="0"/>
    <x v="82"/>
    <d v="2021-07-25T00:00:00"/>
    <x v="1"/>
  </r>
  <r>
    <n v="100"/>
    <n v="169596511"/>
    <m/>
    <x v="6"/>
    <s v="OriGen Biomedical"/>
    <x v="0"/>
    <x v="1"/>
    <x v="0"/>
    <x v="83"/>
    <d v="2021-07-26T00:00:00"/>
    <x v="1"/>
  </r>
  <r>
    <n v="101"/>
    <n v="169597441"/>
    <s v="C-suite"/>
    <x v="1"/>
    <s v="OriGen Biomedical"/>
    <x v="0"/>
    <x v="1"/>
    <x v="0"/>
    <x v="84"/>
    <d v="2021-07-27T00:00:00"/>
    <x v="1"/>
  </r>
  <r>
    <n v="102"/>
    <n v="169597207"/>
    <m/>
    <x v="6"/>
    <s v="OriGen Biomedical"/>
    <x v="0"/>
    <x v="1"/>
    <x v="0"/>
    <x v="85"/>
    <d v="2021-07-28T00:00:00"/>
    <x v="1"/>
  </r>
  <r>
    <n v="103"/>
    <n v="168101237"/>
    <s v="Manager"/>
    <x v="0"/>
    <m/>
    <x v="4"/>
    <x v="1"/>
    <x v="0"/>
    <x v="86"/>
    <d v="2020-07-01T00:00:00"/>
    <x v="1"/>
  </r>
  <r>
    <n v="104"/>
    <n v="169597372"/>
    <s v="C-suite"/>
    <x v="1"/>
    <s v="Oxford Biomedica"/>
    <x v="0"/>
    <x v="1"/>
    <x v="0"/>
    <x v="87"/>
    <d v="2020-05-08T00:00:00"/>
    <x v="1"/>
  </r>
  <r>
    <n v="105"/>
    <n v="169597225"/>
    <s v="C-suite"/>
    <x v="1"/>
    <s v="Oxford Biomedica"/>
    <x v="0"/>
    <x v="1"/>
    <x v="0"/>
    <x v="88"/>
    <d v="2020-05-09T00:00:00"/>
    <x v="1"/>
  </r>
  <r>
    <n v="106"/>
    <n v="169597456"/>
    <s v="C-suite"/>
    <x v="1"/>
    <s v="Oxford Biomedica"/>
    <x v="0"/>
    <x v="1"/>
    <x v="0"/>
    <x v="89"/>
    <d v="2020-05-10T00:00:00"/>
    <x v="1"/>
  </r>
  <r>
    <n v="107"/>
    <n v="169597087"/>
    <s v="VP CMC Management, Purification &amp; Drug Product Sciences "/>
    <x v="3"/>
    <s v="Oxford Biomedica"/>
    <x v="0"/>
    <x v="1"/>
    <x v="0"/>
    <x v="90"/>
    <d v="2020-05-11T00:00:00"/>
    <x v="1"/>
  </r>
  <r>
    <n v="108"/>
    <n v="143068316"/>
    <s v="Senior Director of Business Development"/>
    <x v="7"/>
    <s v="Oxford Biomedica"/>
    <x v="0"/>
    <x v="0"/>
    <x v="0"/>
    <x v="91"/>
    <d v="2020-05-12T00:00:00"/>
    <x v="1"/>
  </r>
  <r>
    <n v="109"/>
    <n v="169597267"/>
    <s v="Director"/>
    <x v="2"/>
    <s v="Oxford Biomedica"/>
    <x v="0"/>
    <x v="0"/>
    <x v="0"/>
    <x v="92"/>
    <d v="2020-05-13T00:00:00"/>
    <x v="1"/>
  </r>
  <r>
    <n v="110"/>
    <n v="169597399"/>
    <s v="Associate"/>
    <x v="8"/>
    <m/>
    <x v="1"/>
    <x v="10"/>
    <x v="3"/>
    <x v="93"/>
    <d v="2020-05-14T00:00:00"/>
    <x v="1"/>
  </r>
  <r>
    <n v="111"/>
    <n v="169597264"/>
    <s v="Marketing Communications Specialist"/>
    <x v="4"/>
    <s v="Peli BioThermal"/>
    <x v="2"/>
    <x v="0"/>
    <x v="0"/>
    <x v="94"/>
    <d v="2020-05-15T00:00:00"/>
    <x v="1"/>
  </r>
  <r>
    <n v="112"/>
    <n v="168100946"/>
    <s v="Director"/>
    <x v="2"/>
    <s v="Peli BioThermal "/>
    <x v="2"/>
    <x v="0"/>
    <x v="0"/>
    <x v="95"/>
    <d v="2020-05-16T00:00:00"/>
    <x v="1"/>
  </r>
  <r>
    <n v="113"/>
    <n v="169597150"/>
    <s v="Head of Sales"/>
    <x v="5"/>
    <s v="PendoTECH"/>
    <x v="0"/>
    <x v="0"/>
    <x v="0"/>
    <x v="96"/>
    <d v="2020-05-17T00:00:00"/>
    <x v="1"/>
  </r>
  <r>
    <n v="114"/>
    <n v="169597405"/>
    <s v="Senior Applications Specialist"/>
    <x v="7"/>
    <s v="PendoTECH"/>
    <x v="0"/>
    <x v="0"/>
    <x v="0"/>
    <x v="97"/>
    <d v="2020-05-18T00:00:00"/>
    <x v="1"/>
  </r>
  <r>
    <n v="115"/>
    <n v="169597471"/>
    <s v="Consultant"/>
    <x v="4"/>
    <s v="PendoTECH"/>
    <x v="0"/>
    <x v="12"/>
    <x v="0"/>
    <x v="98"/>
    <d v="2020-05-19T00:00:00"/>
    <x v="1"/>
  </r>
  <r>
    <n v="116"/>
    <n v="169597123"/>
    <s v="C-suite"/>
    <x v="1"/>
    <s v="Pharmaceutical Technical Solutions"/>
    <x v="0"/>
    <x v="12"/>
    <x v="0"/>
    <x v="99"/>
    <d v="2020-05-20T00:00:00"/>
    <x v="1"/>
  </r>
  <r>
    <n v="117"/>
    <n v="143044416"/>
    <s v="Senior Vice President Scientific Affairs"/>
    <x v="7"/>
    <s v="Prescient Therapeutics"/>
    <x v="2"/>
    <x v="12"/>
    <x v="0"/>
    <x v="100"/>
    <d v="2020-05-23T00:00:00"/>
    <x v="1"/>
  </r>
  <r>
    <n v="118"/>
    <n v="169597396"/>
    <s v="Senior VP Program Portfolio Management"/>
    <x v="7"/>
    <s v="Ray Therapeutics"/>
    <x v="2"/>
    <x v="12"/>
    <x v="0"/>
    <x v="101"/>
    <d v="2020-05-24T00:00:00"/>
    <x v="1"/>
  </r>
  <r>
    <n v="119"/>
    <n v="169597342"/>
    <s v="Director"/>
    <x v="2"/>
    <s v="Reef Group"/>
    <x v="2"/>
    <x v="12"/>
    <x v="0"/>
    <x v="102"/>
    <d v="2020-05-25T00:00:00"/>
    <x v="1"/>
  </r>
  <r>
    <n v="120"/>
    <n v="169597045"/>
    <s v="Head of Business Development"/>
    <x v="5"/>
    <s v="ReiThera"/>
    <x v="2"/>
    <x v="12"/>
    <x v="0"/>
    <x v="103"/>
    <d v="2020-05-26T00:00:00"/>
    <x v="1"/>
  </r>
  <r>
    <n v="121"/>
    <n v="169596502"/>
    <s v="C-suite"/>
    <x v="1"/>
    <s v="ReiThera"/>
    <x v="2"/>
    <x v="12"/>
    <x v="0"/>
    <x v="104"/>
    <d v="2020-05-27T00:00:00"/>
    <x v="1"/>
  </r>
  <r>
    <n v="122"/>
    <n v="169597414"/>
    <s v="Head of Marketing"/>
    <x v="5"/>
    <s v="ReiThera"/>
    <x v="2"/>
    <x v="12"/>
    <x v="0"/>
    <x v="105"/>
    <d v="2020-05-28T00:00:00"/>
    <x v="1"/>
  </r>
  <r>
    <n v="123"/>
    <n v="168100478"/>
    <s v="Senior VP Head Genetic Medicine"/>
    <x v="7"/>
    <s v="Relief Therapeutics"/>
    <x v="4"/>
    <x v="9"/>
    <x v="0"/>
    <x v="106"/>
    <d v="2020-05-29T00:00:00"/>
    <x v="1"/>
  </r>
  <r>
    <n v="124"/>
    <n v="169597192"/>
    <s v="Applications Specialist"/>
    <x v="4"/>
    <s v="Repligen"/>
    <x v="0"/>
    <x v="9"/>
    <x v="0"/>
    <x v="107"/>
    <d v="2020-05-30T00:00:00"/>
    <x v="1"/>
  </r>
  <r>
    <n v="125"/>
    <n v="169597261"/>
    <s v="Applications Specialist"/>
    <x v="4"/>
    <s v="Repligen"/>
    <x v="0"/>
    <x v="9"/>
    <x v="0"/>
    <x v="108"/>
    <d v="2020-05-31T00:00:00"/>
    <x v="1"/>
  </r>
  <r>
    <n v="126"/>
    <n v="169597345"/>
    <s v="Global Commercial Lead"/>
    <x v="4"/>
    <s v="Repligen"/>
    <x v="0"/>
    <x v="9"/>
    <x v="0"/>
    <x v="109"/>
    <d v="2020-06-01T00:00:00"/>
    <x v="1"/>
  </r>
  <r>
    <n v="127"/>
    <n v="166549173"/>
    <s v="C-suite"/>
    <x v="1"/>
    <s v="Cellatoz Therapeutics"/>
    <x v="4"/>
    <x v="9"/>
    <x v="0"/>
    <x v="110"/>
    <d v="2020-06-02T00:00:00"/>
    <x v="1"/>
  </r>
  <r>
    <n v="128"/>
    <n v="165377612"/>
    <s v="Head of Clinical Development"/>
    <x v="5"/>
    <s v="Cellatoz Therapeutics"/>
    <x v="4"/>
    <x v="9"/>
    <x v="0"/>
    <x v="111"/>
    <d v="2020-06-03T00:00:00"/>
    <x v="1"/>
  </r>
  <r>
    <n v="129"/>
    <n v="166843469"/>
    <m/>
    <x v="6"/>
    <s v="MEDIPOST"/>
    <x v="0"/>
    <x v="9"/>
    <x v="0"/>
    <x v="112"/>
    <d v="2020-06-04T00:00:00"/>
    <x v="1"/>
  </r>
  <r>
    <n v="130"/>
    <n v="169597078"/>
    <s v="Senior Director, Strategy &amp; Objectives"/>
    <x v="7"/>
    <s v="Resilience"/>
    <x v="0"/>
    <x v="9"/>
    <x v="0"/>
    <x v="113"/>
    <d v="2020-06-05T00:00:00"/>
    <x v="1"/>
  </r>
  <r>
    <n v="131"/>
    <n v="169597336"/>
    <s v="Manager"/>
    <x v="0"/>
    <s v="Resilience"/>
    <x v="0"/>
    <x v="9"/>
    <x v="0"/>
    <x v="114"/>
    <d v="2020-06-06T00:00:00"/>
    <x v="1"/>
  </r>
  <r>
    <n v="132"/>
    <n v="169597390"/>
    <s v="VP Cell Therapy Franchise"/>
    <x v="3"/>
    <s v="Resilience"/>
    <x v="0"/>
    <x v="9"/>
    <x v="0"/>
    <x v="115"/>
    <d v="2020-06-07T00:00:00"/>
    <x v="1"/>
  </r>
  <r>
    <n v="133"/>
    <n v="168101246"/>
    <s v="Marketing Specialist"/>
    <x v="4"/>
    <s v="Resilience"/>
    <x v="0"/>
    <x v="1"/>
    <x v="0"/>
    <x v="116"/>
    <d v="2020-06-08T00:00:00"/>
    <x v="1"/>
  </r>
  <r>
    <n v="134"/>
    <n v="169597186"/>
    <s v="Manager"/>
    <x v="0"/>
    <s v="Resilience"/>
    <x v="0"/>
    <x v="1"/>
    <x v="0"/>
    <x v="117"/>
    <d v="2020-06-09T00:00:00"/>
    <x v="1"/>
  </r>
  <r>
    <n v="135"/>
    <n v="169597477"/>
    <s v="VP &amp; Business Head, Cell &amp; Gene Therapy, Nucleic Acids"/>
    <x v="3"/>
    <s v="Resilience"/>
    <x v="0"/>
    <x v="1"/>
    <x v="0"/>
    <x v="118"/>
    <d v="2020-06-10T00:00:00"/>
    <x v="1"/>
  </r>
  <r>
    <n v="136"/>
    <n v="169597375"/>
    <s v="Technical Head, Gene Therapy"/>
    <x v="5"/>
    <s v="Resilience"/>
    <x v="0"/>
    <x v="1"/>
    <x v="0"/>
    <x v="119"/>
    <d v="2020-06-11T00:00:00"/>
    <x v="1"/>
  </r>
  <r>
    <n v="137"/>
    <n v="169597228"/>
    <s v="Director"/>
    <x v="2"/>
    <s v="Resilience"/>
    <x v="0"/>
    <x v="1"/>
    <x v="0"/>
    <x v="120"/>
    <d v="2020-06-12T00:00:00"/>
    <x v="1"/>
  </r>
  <r>
    <n v="138"/>
    <n v="169597174"/>
    <s v="Manager"/>
    <x v="0"/>
    <s v="Resilience"/>
    <x v="0"/>
    <x v="1"/>
    <x v="0"/>
    <x v="121"/>
    <d v="2020-06-13T00:00:00"/>
    <x v="1"/>
  </r>
  <r>
    <n v="139"/>
    <n v="169597384"/>
    <s v="Director"/>
    <x v="2"/>
    <s v="Resilience"/>
    <x v="0"/>
    <x v="1"/>
    <x v="0"/>
    <x v="122"/>
    <d v="2020-06-14T00:00:00"/>
    <x v="1"/>
  </r>
  <r>
    <n v="140"/>
    <n v="169597351"/>
    <s v="Commercial Development"/>
    <x v="4"/>
    <m/>
    <x v="0"/>
    <x v="1"/>
    <x v="0"/>
    <x v="123"/>
    <d v="2020-06-15T00:00:00"/>
    <x v="1"/>
  </r>
  <r>
    <n v="141"/>
    <n v="169597474"/>
    <s v="Director"/>
    <x v="2"/>
    <s v="Resilience"/>
    <x v="0"/>
    <x v="1"/>
    <x v="0"/>
    <x v="124"/>
    <d v="2020-06-16T00:00:00"/>
    <x v="1"/>
  </r>
  <r>
    <n v="142"/>
    <n v="169597420"/>
    <s v="Director"/>
    <x v="2"/>
    <s v="Resilience"/>
    <x v="0"/>
    <x v="1"/>
    <x v="0"/>
    <x v="125"/>
    <d v="2020-06-17T00:00:00"/>
    <x v="1"/>
  </r>
  <r>
    <n v="143"/>
    <n v="169597252"/>
    <s v="Manager"/>
    <x v="0"/>
    <s v="Resilience"/>
    <x v="0"/>
    <x v="1"/>
    <x v="0"/>
    <x v="126"/>
    <d v="2020-06-18T00:00:00"/>
    <x v="1"/>
  </r>
  <r>
    <n v="144"/>
    <n v="169597354"/>
    <s v="PM/Research"/>
    <x v="4"/>
    <s v="Riverbridge"/>
    <x v="2"/>
    <x v="1"/>
    <x v="0"/>
    <x v="127"/>
    <d v="2020-06-19T00:00:00"/>
    <x v="1"/>
  </r>
  <r>
    <n v="145"/>
    <n v="169597126"/>
    <s v="Head of Business Development"/>
    <x v="5"/>
    <s v="RoslinCT"/>
    <x v="2"/>
    <x v="1"/>
    <x v="0"/>
    <x v="128"/>
    <d v="2020-06-20T00:00:00"/>
    <x v="1"/>
  </r>
  <r>
    <n v="146"/>
    <n v="169597060"/>
    <s v="C-suite"/>
    <x v="1"/>
    <s v="RoslinCT"/>
    <x v="2"/>
    <x v="1"/>
    <x v="0"/>
    <x v="129"/>
    <d v="2020-06-21T00:00:00"/>
    <x v="1"/>
  </r>
  <r>
    <n v="147"/>
    <n v="169597429"/>
    <s v="Head of Department"/>
    <x v="5"/>
    <s v="Royal Prince Alfred Hospital"/>
    <x v="3"/>
    <x v="1"/>
    <x v="0"/>
    <x v="130"/>
    <d v="2020-06-22T00:00:00"/>
    <x v="1"/>
  </r>
  <r>
    <n v="148"/>
    <n v="169597075"/>
    <s v="Founder"/>
    <x v="10"/>
    <s v="RSK Life Science Media"/>
    <x v="8"/>
    <x v="1"/>
    <x v="0"/>
    <x v="131"/>
    <d v="2020-06-23T00:00:00"/>
    <x v="1"/>
  </r>
  <r>
    <n v="149"/>
    <n v="169597195"/>
    <s v="Senior Marketing Coordinator"/>
    <x v="7"/>
    <s v="Salesforce"/>
    <x v="0"/>
    <x v="1"/>
    <x v="0"/>
    <x v="132"/>
    <d v="2020-06-24T00:00:00"/>
    <x v="1"/>
  </r>
  <r>
    <n v="150"/>
    <n v="169597216"/>
    <s v="C-suite"/>
    <x v="1"/>
    <s v="Sarcura"/>
    <x v="0"/>
    <x v="1"/>
    <x v="0"/>
    <x v="133"/>
    <d v="2020-06-25T00:00:00"/>
    <x v="1"/>
  </r>
  <r>
    <n v="151"/>
    <n v="169597066"/>
    <s v="Director"/>
    <x v="2"/>
    <s v="Sarcura"/>
    <x v="0"/>
    <x v="1"/>
    <x v="0"/>
    <x v="134"/>
    <d v="2020-06-26T00:00:00"/>
    <x v="1"/>
  </r>
  <r>
    <n v="152"/>
    <n v="168101240"/>
    <s v="Manager"/>
    <x v="0"/>
    <s v="Sartorius CellGenix"/>
    <x v="0"/>
    <x v="1"/>
    <x v="0"/>
    <x v="135"/>
    <d v="2020-06-27T00:00:00"/>
    <x v="1"/>
  </r>
  <r>
    <n v="153"/>
    <n v="169597339"/>
    <s v="Director"/>
    <x v="2"/>
    <s v="Sartorius CellGenix"/>
    <x v="0"/>
    <x v="1"/>
    <x v="0"/>
    <x v="136"/>
    <d v="2020-06-28T00:00:00"/>
    <x v="1"/>
  </r>
  <r>
    <n v="154"/>
    <n v="169596514"/>
    <s v="VP Marketing, Sales &amp; Logistic"/>
    <x v="3"/>
    <s v="Sartorius CellGenix"/>
    <x v="0"/>
    <x v="1"/>
    <x v="0"/>
    <x v="137"/>
    <d v="2020-06-29T00:00:00"/>
    <x v="1"/>
  </r>
  <r>
    <n v="155"/>
    <n v="169597048"/>
    <s v="Manager"/>
    <x v="0"/>
    <s v="Sartorius CellGenix"/>
    <x v="0"/>
    <x v="1"/>
    <x v="0"/>
    <x v="138"/>
    <d v="2020-06-30T00:00:00"/>
    <x v="1"/>
  </r>
  <r>
    <n v="156"/>
    <n v="169597366"/>
    <s v="Manager"/>
    <x v="0"/>
    <s v="Sartorius CellGenix"/>
    <x v="0"/>
    <x v="1"/>
    <x v="0"/>
    <x v="139"/>
    <d v="2020-07-01T00:00:00"/>
    <x v="1"/>
  </r>
  <r>
    <n v="157"/>
    <n v="169597072"/>
    <s v="C-suite"/>
    <x v="1"/>
    <s v="Satellite Bio"/>
    <x v="4"/>
    <x v="1"/>
    <x v="0"/>
    <x v="140"/>
    <d v="2020-07-02T00:00:00"/>
    <x v="1"/>
  </r>
  <r>
    <n v="158"/>
    <n v="169597111"/>
    <s v="C-suite"/>
    <x v="1"/>
    <m/>
    <x v="4"/>
    <x v="1"/>
    <x v="0"/>
    <x v="141"/>
    <d v="2020-07-03T00:00:00"/>
    <x v="1"/>
  </r>
  <r>
    <n v="159"/>
    <n v="169597255"/>
    <s v="Director"/>
    <x v="2"/>
    <s v="Savillex"/>
    <x v="0"/>
    <x v="1"/>
    <x v="0"/>
    <x v="142"/>
    <d v="2020-07-04T00:00:00"/>
    <x v="1"/>
  </r>
  <r>
    <n v="160"/>
    <n v="169597180"/>
    <s v="Director"/>
    <x v="2"/>
    <s v="Savillex"/>
    <x v="0"/>
    <x v="1"/>
    <x v="0"/>
    <x v="143"/>
    <d v="2020-07-05T00:00:00"/>
    <x v="1"/>
  </r>
  <r>
    <n v="161"/>
    <n v="169597231"/>
    <s v="Executive VP Sales and Marketing"/>
    <x v="11"/>
    <s v="Savillex"/>
    <x v="0"/>
    <x v="1"/>
    <x v="0"/>
    <x v="144"/>
    <d v="2020-07-06T00:00:00"/>
    <x v="1"/>
  </r>
  <r>
    <n v="162"/>
    <n v="168100517"/>
    <s v="Manager"/>
    <x v="0"/>
    <s v="ScaleReady"/>
    <x v="0"/>
    <x v="1"/>
    <x v="0"/>
    <x v="145"/>
    <d v="2020-07-07T00:00:00"/>
    <x v="1"/>
  </r>
  <r>
    <n v="163"/>
    <n v="169596493"/>
    <s v="Director"/>
    <x v="2"/>
    <s v="ScaleReady"/>
    <x v="0"/>
    <x v="1"/>
    <x v="0"/>
    <x v="146"/>
    <d v="2020-05-08T00:00:00"/>
    <x v="1"/>
  </r>
  <r>
    <n v="164"/>
    <n v="169597165"/>
    <s v="Director"/>
    <x v="2"/>
    <s v="ScaleReady"/>
    <x v="0"/>
    <x v="1"/>
    <x v="0"/>
    <x v="147"/>
    <d v="2020-05-09T00:00:00"/>
    <x v="1"/>
  </r>
  <r>
    <n v="165"/>
    <n v="169597237"/>
    <s v="Manager"/>
    <x v="0"/>
    <s v="ScaleReady"/>
    <x v="0"/>
    <x v="1"/>
    <x v="0"/>
    <x v="148"/>
    <d v="2020-05-10T00:00:00"/>
    <x v="1"/>
  </r>
  <r>
    <n v="166"/>
    <n v="168100304"/>
    <s v="Director"/>
    <x v="2"/>
    <s v="ScaleReady"/>
    <x v="0"/>
    <x v="1"/>
    <x v="0"/>
    <x v="149"/>
    <d v="2020-05-11T00:00:00"/>
    <x v="1"/>
  </r>
  <r>
    <n v="167"/>
    <n v="166551649"/>
    <s v="Senior Field Application Specialist"/>
    <x v="7"/>
    <s v="ScaleReady"/>
    <x v="0"/>
    <x v="1"/>
    <x v="0"/>
    <x v="150"/>
    <d v="2020-05-12T00:00:00"/>
    <x v="1"/>
  </r>
  <r>
    <n v="168"/>
    <n v="169597423"/>
    <s v="Manager"/>
    <x v="0"/>
    <s v="ScaleReady"/>
    <x v="0"/>
    <x v="1"/>
    <x v="0"/>
    <x v="151"/>
    <d v="2020-05-13T00:00:00"/>
    <x v="1"/>
  </r>
  <r>
    <n v="169"/>
    <n v="169597417"/>
    <s v="C-suite"/>
    <x v="1"/>
    <s v="Scinus Cell Expansion"/>
    <x v="0"/>
    <x v="1"/>
    <x v="0"/>
    <x v="152"/>
    <d v="2020-05-14T00:00:00"/>
    <x v="1"/>
  </r>
  <r>
    <n v="170"/>
    <n v="169597081"/>
    <s v="C-suite"/>
    <x v="1"/>
    <s v="Scinus Cell Expansion"/>
    <x v="0"/>
    <x v="1"/>
    <x v="0"/>
    <x v="153"/>
    <d v="2020-05-15T00:00:00"/>
    <x v="1"/>
  </r>
  <r>
    <n v="171"/>
    <n v="169597378"/>
    <s v="The Executive"/>
    <x v="11"/>
    <s v="SCT Cell Manufacturing"/>
    <x v="2"/>
    <x v="1"/>
    <x v="0"/>
    <x v="154"/>
    <d v="2020-05-16T00:00:00"/>
    <x v="1"/>
  </r>
  <r>
    <n v="172"/>
    <n v="169597117"/>
    <s v="Associate"/>
    <x v="8"/>
    <s v="SelectScience"/>
    <x v="2"/>
    <x v="1"/>
    <x v="0"/>
    <x v="155"/>
    <d v="2020-05-17T00:00:00"/>
    <x v="1"/>
  </r>
  <r>
    <n v="173"/>
    <n v="169597462"/>
    <s v="Associate"/>
    <x v="8"/>
    <s v="SelectScience "/>
    <x v="2"/>
    <x v="1"/>
    <x v="0"/>
    <x v="156"/>
    <d v="2020-05-18T00:00:00"/>
    <x v="1"/>
  </r>
  <r>
    <n v="174"/>
    <n v="166551653"/>
    <s v="Director"/>
    <x v="2"/>
    <s v="SG Branding for Viralgen"/>
    <x v="2"/>
    <x v="1"/>
    <x v="0"/>
    <x v="157"/>
    <d v="2020-05-19T00:00:00"/>
    <x v="1"/>
  </r>
  <r>
    <n v="175"/>
    <n v="169597453"/>
    <s v="Business development"/>
    <x v="4"/>
    <s v="SGS"/>
    <x v="0"/>
    <x v="1"/>
    <x v="0"/>
    <x v="158"/>
    <d v="2020-05-20T00:00:00"/>
    <x v="1"/>
  </r>
  <r>
    <n v="176"/>
    <n v="169597438"/>
    <s v="Manager"/>
    <x v="0"/>
    <s v="SGS"/>
    <x v="0"/>
    <x v="1"/>
    <x v="0"/>
    <x v="159"/>
    <d v="2020-05-21T00:00:00"/>
    <x v="1"/>
  </r>
  <r>
    <n v="177"/>
    <n v="169597084"/>
    <s v="Manager"/>
    <x v="0"/>
    <s v="SGS "/>
    <x v="0"/>
    <x v="1"/>
    <x v="0"/>
    <x v="160"/>
    <d v="2020-05-22T00:00:00"/>
    <x v="1"/>
  </r>
  <r>
    <n v="178"/>
    <n v="169597465"/>
    <s v="C-suite"/>
    <x v="1"/>
    <s v="SGVector Pte "/>
    <x v="2"/>
    <x v="1"/>
    <x v="0"/>
    <x v="161"/>
    <d v="2020-05-23T00:00:00"/>
    <x v="1"/>
  </r>
  <r>
    <n v="179"/>
    <n v="169597450"/>
    <s v="Manager"/>
    <x v="0"/>
    <s v="Shikoku Instrumentation"/>
    <x v="2"/>
    <x v="1"/>
    <x v="0"/>
    <x v="162"/>
    <d v="2020-05-24T00:00:00"/>
    <x v="1"/>
  </r>
  <r>
    <n v="180"/>
    <n v="169597102"/>
    <s v="C-suite"/>
    <x v="1"/>
    <s v="Sickle Cell Reproductive Health Education Directive"/>
    <x v="2"/>
    <x v="1"/>
    <x v="0"/>
    <x v="163"/>
    <d v="2020-05-25T00:00:00"/>
    <x v="1"/>
  </r>
  <r>
    <n v="181"/>
    <n v="166551647"/>
    <s v="Senior Advisor Business Development"/>
    <x v="7"/>
    <s v="Signet Healthcare Partners"/>
    <x v="2"/>
    <x v="1"/>
    <x v="0"/>
    <x v="164"/>
    <d v="2020-05-26T00:00:00"/>
    <x v="1"/>
  </r>
  <r>
    <n v="182"/>
    <n v="166551693"/>
    <s v="Senior VP Global Commercial"/>
    <x v="7"/>
    <s v="Terumo Blood and Cell Technologies"/>
    <x v="0"/>
    <x v="1"/>
    <x v="0"/>
    <x v="165"/>
    <d v="2020-05-27T00:00:00"/>
    <x v="1"/>
  </r>
  <r>
    <n v="183"/>
    <n v="148537362"/>
    <s v="Technical Sales Executive "/>
    <x v="11"/>
    <s v="Single Use Support"/>
    <x v="2"/>
    <x v="13"/>
    <x v="0"/>
    <x v="166"/>
    <d v="2020-05-28T00:00:00"/>
    <x v="1"/>
  </r>
  <r>
    <n v="184"/>
    <n v="169597468"/>
    <s v="Director"/>
    <x v="2"/>
    <s v="Single Use Support"/>
    <x v="2"/>
    <x v="13"/>
    <x v="0"/>
    <x v="167"/>
    <d v="2020-05-29T00:00:00"/>
    <x v="1"/>
  </r>
  <r>
    <n v="185"/>
    <n v="169597141"/>
    <s v="Principal"/>
    <x v="9"/>
    <s v="Sixth Street"/>
    <x v="1"/>
    <x v="13"/>
    <x v="0"/>
    <x v="168"/>
    <d v="2020-05-30T00:00:00"/>
    <x v="1"/>
  </r>
  <r>
    <n v="186"/>
    <n v="169597120"/>
    <s v="C-suite"/>
    <x v="1"/>
    <s v="Smart Immune"/>
    <x v="2"/>
    <x v="13"/>
    <x v="0"/>
    <x v="169"/>
    <d v="2020-05-31T00:00:00"/>
    <x v="1"/>
  </r>
  <r>
    <n v="187"/>
    <n v="169597360"/>
    <s v="Director"/>
    <x v="2"/>
    <s v="SNBTS"/>
    <x v="2"/>
    <x v="13"/>
    <x v="0"/>
    <x v="170"/>
    <d v="2020-06-01T00:00:00"/>
    <x v="1"/>
  </r>
  <r>
    <n v="188"/>
    <n v="169597222"/>
    <s v="C-suite"/>
    <x v="1"/>
    <s v="SNOW Chemicals "/>
    <x v="2"/>
    <x v="13"/>
    <x v="0"/>
    <x v="171"/>
    <d v="2020-06-02T00:00:00"/>
    <x v="1"/>
  </r>
  <r>
    <n v="189"/>
    <n v="169597219"/>
    <s v="Director"/>
    <x v="2"/>
    <s v="SOLVE FSHD Holdings "/>
    <x v="2"/>
    <x v="13"/>
    <x v="0"/>
    <x v="172"/>
    <d v="2020-06-03T00:00:00"/>
    <x v="1"/>
  </r>
  <r>
    <n v="190"/>
    <n v="169597432"/>
    <s v="Medical Business"/>
    <x v="4"/>
    <s v="Sony Biotechnology"/>
    <x v="0"/>
    <x v="13"/>
    <x v="0"/>
    <x v="173"/>
    <d v="2020-06-04T00:00:00"/>
    <x v="1"/>
  </r>
  <r>
    <n v="191"/>
    <n v="169597444"/>
    <s v="Manager"/>
    <x v="0"/>
    <s v="Sony Biotechnology"/>
    <x v="0"/>
    <x v="13"/>
    <x v="0"/>
    <x v="174"/>
    <d v="2020-06-05T00:00:00"/>
    <x v="1"/>
  </r>
  <r>
    <n v="192"/>
    <n v="169596505"/>
    <s v="Medical Business"/>
    <x v="4"/>
    <s v="Sony Biotechnology"/>
    <x v="0"/>
    <x v="13"/>
    <x v="0"/>
    <x v="175"/>
    <d v="2020-06-06T00:00:00"/>
    <x v="1"/>
  </r>
  <r>
    <n v="193"/>
    <n v="169597108"/>
    <s v="Sales"/>
    <x v="4"/>
    <s v="Sony Biotechnology"/>
    <x v="0"/>
    <x v="13"/>
    <x v="0"/>
    <x v="176"/>
    <d v="2020-06-07T00:00:00"/>
    <x v="1"/>
  </r>
  <r>
    <n v="194"/>
    <n v="169597402"/>
    <s v="Medical Business"/>
    <x v="4"/>
    <s v="Sony Biotechnology"/>
    <x v="0"/>
    <x v="13"/>
    <x v="0"/>
    <x v="177"/>
    <d v="2020-06-08T00:00:00"/>
    <x v="1"/>
  </r>
  <r>
    <n v="195"/>
    <n v="169597435"/>
    <s v="Manager"/>
    <x v="0"/>
    <s v="Sony Corporation"/>
    <x v="0"/>
    <x v="13"/>
    <x v="0"/>
    <x v="178"/>
    <d v="2020-06-09T00:00:00"/>
    <x v="1"/>
  </r>
  <r>
    <n v="196"/>
    <n v="169597411"/>
    <s v="Product Planner"/>
    <x v="4"/>
    <s v="Sony Corporation"/>
    <x v="0"/>
    <x v="13"/>
    <x v="0"/>
    <x v="179"/>
    <d v="2020-06-10T00:00:00"/>
    <x v="1"/>
  </r>
  <r>
    <n v="197"/>
    <n v="168101204"/>
    <s v="C-suite"/>
    <x v="1"/>
    <s v="SOTIO Biotech"/>
    <x v="4"/>
    <x v="13"/>
    <x v="0"/>
    <x v="180"/>
    <d v="2020-06-11T00:00:00"/>
    <x v="1"/>
  </r>
  <r>
    <n v="198"/>
    <n v="166842309"/>
    <s v="Director"/>
    <x v="2"/>
    <s v="GRIFOLS"/>
    <x v="0"/>
    <x v="13"/>
    <x v="0"/>
    <x v="181"/>
    <d v="2020-06-12T00:00:00"/>
    <x v="1"/>
  </r>
  <r>
    <n v="199"/>
    <n v="169597147"/>
    <s v="Corporate Communications"/>
    <x v="4"/>
    <s v="Spark Therapeutics"/>
    <x v="4"/>
    <x v="13"/>
    <x v="0"/>
    <x v="182"/>
    <d v="2020-06-13T00:00:00"/>
    <x v="1"/>
  </r>
  <r>
    <n v="200"/>
    <n v="169597051"/>
    <s v="VP of Manufacturing"/>
    <x v="3"/>
    <s v="Spark Therapeutics"/>
    <x v="4"/>
    <x v="13"/>
    <x v="0"/>
    <x v="183"/>
    <d v="2020-06-14T00:00:00"/>
    <x v="1"/>
  </r>
  <r>
    <n v="201"/>
    <n v="169597171"/>
    <s v="Senior Director Immunology"/>
    <x v="7"/>
    <s v="Stemcell Technologies"/>
    <x v="0"/>
    <x v="13"/>
    <x v="0"/>
    <x v="184"/>
    <d v="2020-06-15T00:00:00"/>
    <x v="1"/>
  </r>
  <r>
    <n v="202"/>
    <n v="166551659"/>
    <s v="Senior VP CD &amp; BD"/>
    <x v="7"/>
    <s v="Steminent Biotherapeutics"/>
    <x v="0"/>
    <x v="13"/>
    <x v="0"/>
    <x v="185"/>
    <d v="2020-06-16T00:00:00"/>
    <x v="1"/>
  </r>
  <r>
    <n v="203"/>
    <n v="168098771"/>
    <s v="C-suite"/>
    <x v="1"/>
    <s v="Alder Therapeutics"/>
    <x v="2"/>
    <x v="13"/>
    <x v="0"/>
    <x v="186"/>
    <d v="2020-06-17T00:00:00"/>
    <x v="1"/>
  </r>
  <r>
    <n v="204"/>
    <n v="168098780"/>
    <s v="C-suite"/>
    <x v="1"/>
    <s v="Alder Therapeutics"/>
    <x v="2"/>
    <x v="13"/>
    <x v="0"/>
    <x v="187"/>
    <d v="2020-06-18T00:00:00"/>
    <x v="1"/>
  </r>
  <r>
    <n v="205"/>
    <n v="168098774"/>
    <s v="C-suite"/>
    <x v="1"/>
    <s v="Alder Therapeutics AB"/>
    <x v="2"/>
    <x v="13"/>
    <x v="0"/>
    <x v="188"/>
    <d v="2020-06-19T00:00:00"/>
    <x v="1"/>
  </r>
  <r>
    <n v="206"/>
    <n v="166553383"/>
    <s v="C-suite"/>
    <x v="1"/>
    <s v="BioLamina AB"/>
    <x v="0"/>
    <x v="13"/>
    <x v="0"/>
    <x v="189"/>
    <d v="2020-06-20T00:00:00"/>
    <x v="1"/>
  </r>
  <r>
    <n v="207"/>
    <n v="169597042"/>
    <s v="Global Head of Sales"/>
    <x v="5"/>
    <m/>
    <x v="0"/>
    <x v="10"/>
    <x v="3"/>
    <x v="190"/>
    <d v="2020-06-21T00:00:00"/>
    <x v="1"/>
  </r>
  <r>
    <n v="208"/>
    <n v="166549149"/>
    <s v="C-suite"/>
    <x v="1"/>
    <s v="Antion Biosciences"/>
    <x v="4"/>
    <x v="10"/>
    <x v="3"/>
    <x v="191"/>
    <d v="2020-06-22T00:00:00"/>
    <x v="1"/>
  </r>
  <r>
    <n v="209"/>
    <n v="163038020"/>
    <s v="Senior Director Gene Therapy Sales"/>
    <x v="7"/>
    <s v="Charles River"/>
    <x v="0"/>
    <x v="14"/>
    <x v="0"/>
    <x v="192"/>
    <d v="2020-06-23T00:00:00"/>
    <x v="1"/>
  </r>
  <r>
    <n v="210"/>
    <n v="166551423"/>
    <s v="Head of Strategic Sourcing "/>
    <x v="5"/>
    <s v="CRISPR Therapeutics"/>
    <x v="4"/>
    <x v="14"/>
    <x v="0"/>
    <x v="193"/>
    <d v="2020-06-24T00:00:00"/>
    <x v="1"/>
  </r>
  <r>
    <n v="211"/>
    <n v="166549979"/>
    <m/>
    <x v="6"/>
    <s v="Lonza Biologics"/>
    <x v="0"/>
    <x v="14"/>
    <x v="0"/>
    <x v="194"/>
    <d v="2020-06-24T00:00:00"/>
    <x v="1"/>
  </r>
  <r>
    <n v="212"/>
    <n v="166843595"/>
    <s v="Head of Department"/>
    <x v="5"/>
    <s v="Sydney Local Health District"/>
    <x v="2"/>
    <x v="14"/>
    <x v="0"/>
    <x v="195"/>
    <d v="2020-06-24T00:00:00"/>
    <x v="1"/>
  </r>
  <r>
    <n v="213"/>
    <n v="166843597"/>
    <s v="Manager"/>
    <x v="0"/>
    <s v="Symbiosis Pharmaceutical Services "/>
    <x v="0"/>
    <x v="14"/>
    <x v="0"/>
    <x v="196"/>
    <d v="2020-06-24T00:00:00"/>
    <x v="1"/>
  </r>
  <r>
    <n v="214"/>
    <n v="166843593"/>
    <s v="Director"/>
    <x v="2"/>
    <s v="Syneos Health"/>
    <x v="0"/>
    <x v="14"/>
    <x v="0"/>
    <x v="197"/>
    <d v="2020-06-28T00:00:00"/>
    <x v="1"/>
  </r>
  <r>
    <n v="215"/>
    <n v="166843601"/>
    <s v="Director"/>
    <x v="2"/>
    <s v="Syneos Health"/>
    <x v="0"/>
    <x v="14"/>
    <x v="0"/>
    <x v="198"/>
    <d v="2020-06-24T00:00:00"/>
    <x v="1"/>
  </r>
  <r>
    <n v="216"/>
    <n v="143119156"/>
    <s v="Senior Managing Director  Head of Oncology"/>
    <x v="7"/>
    <s v="Syneos Health"/>
    <x v="0"/>
    <x v="14"/>
    <x v="0"/>
    <x v="199"/>
    <d v="2020-06-30T00:00:00"/>
    <x v="1"/>
  </r>
  <r>
    <n v="217"/>
    <n v="143119154"/>
    <s v="Manager"/>
    <x v="0"/>
    <s v="Syneos Health"/>
    <x v="0"/>
    <x v="14"/>
    <x v="0"/>
    <x v="200"/>
    <d v="2020-07-01T00:00:00"/>
    <x v="2"/>
  </r>
  <r>
    <n v="218"/>
    <n v="143119150"/>
    <s v="Business development"/>
    <x v="4"/>
    <s v="Syneos Health"/>
    <x v="0"/>
    <x v="14"/>
    <x v="0"/>
    <x v="201"/>
    <d v="2020-07-02T00:00:00"/>
    <x v="2"/>
  </r>
  <r>
    <n v="219"/>
    <n v="167222332"/>
    <s v="C-suite"/>
    <x v="1"/>
    <s v="TAAV"/>
    <x v="2"/>
    <x v="14"/>
    <x v="0"/>
    <x v="202"/>
    <d v="2020-06-24T00:00:00"/>
    <x v="2"/>
  </r>
  <r>
    <n v="220"/>
    <n v="167222370"/>
    <s v="Manager"/>
    <x v="0"/>
    <s v="TAAV"/>
    <x v="2"/>
    <x v="14"/>
    <x v="0"/>
    <x v="203"/>
    <d v="2020-07-04T00:00:00"/>
    <x v="2"/>
  </r>
  <r>
    <n v="221"/>
    <n v="167419842"/>
    <s v="Head of Business Development"/>
    <x v="5"/>
    <s v="TAAV"/>
    <x v="2"/>
    <x v="15"/>
    <x v="0"/>
    <x v="204"/>
    <d v="2020-07-05T00:00:00"/>
    <x v="2"/>
  </r>
  <r>
    <n v="222"/>
    <n v="165050730"/>
    <s v="Senior VP Clinical Operations"/>
    <x v="7"/>
    <s v="Talaris Therapeutics"/>
    <x v="4"/>
    <x v="15"/>
    <x v="0"/>
    <x v="205"/>
    <d v="2020-07-06T00:00:00"/>
    <x v="2"/>
  </r>
  <r>
    <n v="223"/>
    <n v="166551673"/>
    <s v="C-suite"/>
    <x v="1"/>
    <s v="Taysha Gene Therapies"/>
    <x v="4"/>
    <x v="15"/>
    <x v="0"/>
    <x v="206"/>
    <d v="2020-07-07T00:00:00"/>
    <x v="2"/>
  </r>
  <r>
    <n v="224"/>
    <n v="166551701"/>
    <s v="C-suite"/>
    <x v="1"/>
    <s v="TCR2 Therapeutics"/>
    <x v="4"/>
    <x v="15"/>
    <x v="0"/>
    <x v="207"/>
    <d v="2020-06-24T00:00:00"/>
    <x v="2"/>
  </r>
  <r>
    <n v="225"/>
    <n v="166551681"/>
    <s v="Director"/>
    <x v="2"/>
    <s v="Technoflex"/>
    <x v="0"/>
    <x v="15"/>
    <x v="0"/>
    <x v="208"/>
    <d v="2020-07-09T00:00:00"/>
    <x v="2"/>
  </r>
  <r>
    <n v="226"/>
    <n v="166551665"/>
    <s v="Manager"/>
    <x v="0"/>
    <s v="Technoflex"/>
    <x v="0"/>
    <x v="15"/>
    <x v="0"/>
    <x v="209"/>
    <d v="2022-02-01T00:00:00"/>
    <x v="2"/>
  </r>
  <r>
    <n v="227"/>
    <n v="166551667"/>
    <m/>
    <x v="6"/>
    <s v="Technoflex"/>
    <x v="0"/>
    <x v="15"/>
    <x v="0"/>
    <x v="210"/>
    <d v="2022-02-02T00:00:00"/>
    <x v="2"/>
  </r>
  <r>
    <n v="228"/>
    <n v="166551677"/>
    <s v="Partner"/>
    <x v="4"/>
    <s v="Telegraph Hill Partners"/>
    <x v="1"/>
    <x v="15"/>
    <x v="0"/>
    <x v="211"/>
    <d v="2022-02-03T00:00:00"/>
    <x v="2"/>
  </r>
  <r>
    <n v="229"/>
    <n v="166551687"/>
    <s v="Director"/>
    <x v="2"/>
    <s v="Telegraph Hill Partners"/>
    <x v="1"/>
    <x v="15"/>
    <x v="0"/>
    <x v="212"/>
    <d v="2022-02-04T00:00:00"/>
    <x v="2"/>
  </r>
  <r>
    <n v="230"/>
    <n v="166551699"/>
    <s v="C-suite"/>
    <x v="1"/>
    <s v="Tenaya Therapeutics"/>
    <x v="4"/>
    <x v="15"/>
    <x v="0"/>
    <x v="213"/>
    <d v="2022-02-05T00:00:00"/>
    <x v="2"/>
  </r>
  <r>
    <n v="231"/>
    <n v="166551709"/>
    <s v="Director"/>
    <x v="2"/>
    <m/>
    <x v="0"/>
    <x v="15"/>
    <x v="0"/>
    <x v="214"/>
    <d v="2022-02-06T00:00:00"/>
    <x v="2"/>
  </r>
  <r>
    <n v="232"/>
    <n v="166551697"/>
    <s v="CTT Global Technology Leader "/>
    <x v="4"/>
    <s v="Terumo Blood and Cell Technologies"/>
    <x v="0"/>
    <x v="15"/>
    <x v="0"/>
    <x v="215"/>
    <d v="2022-02-07T00:00:00"/>
    <x v="2"/>
  </r>
  <r>
    <n v="233"/>
    <n v="143024462"/>
    <s v="C-suite"/>
    <x v="1"/>
    <s v="Tevogen Bio"/>
    <x v="4"/>
    <x v="15"/>
    <x v="0"/>
    <x v="216"/>
    <d v="2022-02-08T00:00:00"/>
    <x v="2"/>
  </r>
  <r>
    <n v="234"/>
    <n v="166843901"/>
    <s v="Director"/>
    <x v="2"/>
    <s v="The Chamber of Commerce for Greater Philadelphia"/>
    <x v="9"/>
    <x v="15"/>
    <x v="0"/>
    <x v="217"/>
    <d v="2022-02-09T00:00:00"/>
    <x v="2"/>
  </r>
  <r>
    <n v="235"/>
    <n v="166842297"/>
    <s v="C-suite"/>
    <x v="1"/>
    <s v="Glycostem Therapeutics B.V"/>
    <x v="4"/>
    <x v="15"/>
    <x v="0"/>
    <x v="218"/>
    <d v="2022-02-10T00:00:00"/>
    <x v="2"/>
  </r>
  <r>
    <n v="236"/>
    <n v="169597201"/>
    <s v="Business Developer"/>
    <x v="4"/>
    <s v="NecstGen"/>
    <x v="0"/>
    <x v="15"/>
    <x v="0"/>
    <x v="219"/>
    <d v="2022-02-11T00:00:00"/>
    <x v="2"/>
  </r>
  <r>
    <n v="237"/>
    <n v="169597159"/>
    <s v="Head of Business Development"/>
    <x v="5"/>
    <s v="NecstGen"/>
    <x v="0"/>
    <x v="15"/>
    <x v="0"/>
    <x v="220"/>
    <d v="2022-02-12T00:00:00"/>
    <x v="2"/>
  </r>
  <r>
    <n v="238"/>
    <n v="166551755"/>
    <s v="Professor"/>
    <x v="4"/>
    <s v="The University of British Columbia"/>
    <x v="3"/>
    <x v="16"/>
    <x v="0"/>
    <x v="221"/>
    <d v="2022-02-13T00:00:00"/>
    <x v="2"/>
  </r>
  <r>
    <n v="239"/>
    <n v="166551771"/>
    <s v="Manager"/>
    <x v="0"/>
    <s v="Thermo Fisher Scientific"/>
    <x v="0"/>
    <x v="16"/>
    <x v="0"/>
    <x v="222"/>
    <d v="2022-02-14T00:00:00"/>
    <x v="2"/>
  </r>
  <r>
    <n v="240"/>
    <n v="166551769"/>
    <s v="Director"/>
    <x v="2"/>
    <s v="THL Partners"/>
    <x v="1"/>
    <x v="16"/>
    <x v="0"/>
    <x v="223"/>
    <d v="2022-02-15T00:00:00"/>
    <x v="2"/>
  </r>
  <r>
    <n v="241"/>
    <n v="143039622"/>
    <m/>
    <x v="6"/>
    <s v="JURA Bio"/>
    <x v="2"/>
    <x v="10"/>
    <x v="3"/>
    <x v="224"/>
    <d v="2022-09-30T00:00:00"/>
    <x v="1"/>
  </r>
  <r>
    <n v="242"/>
    <n v="163755590"/>
    <s v="Director"/>
    <x v="2"/>
    <s v="Cellistic"/>
    <x v="0"/>
    <x v="0"/>
    <x v="0"/>
    <x v="224"/>
    <d v="2022-09-30T00:00:00"/>
    <x v="0"/>
  </r>
  <r>
    <n v="243"/>
    <n v="166551759"/>
    <s v="Director"/>
    <x v="2"/>
    <s v="Thompson Street Capital Partners"/>
    <x v="1"/>
    <x v="16"/>
    <x v="0"/>
    <x v="224"/>
    <d v="2022-02-16T00:00:00"/>
    <x v="2"/>
  </r>
  <r>
    <n v="244"/>
    <n v="166552537"/>
    <s v="Manager"/>
    <x v="0"/>
    <s v="AGC Biologics"/>
    <x v="0"/>
    <x v="3"/>
    <x v="0"/>
    <x v="224"/>
    <d v="2022-09-30T00:00:00"/>
    <x v="1"/>
  </r>
  <r>
    <n v="245"/>
    <n v="166553401"/>
    <s v="C-suite"/>
    <x v="1"/>
    <s v="Canadian Advanced Therapies Training Institute (CATTI)"/>
    <x v="3"/>
    <x v="2"/>
    <x v="1"/>
    <x v="224"/>
    <d v="2022-09-30T00:00:00"/>
    <x v="0"/>
  </r>
  <r>
    <n v="246"/>
    <n v="166553415"/>
    <s v="Director"/>
    <x v="2"/>
    <s v="bioMérieux"/>
    <x v="0"/>
    <x v="9"/>
    <x v="0"/>
    <x v="224"/>
    <d v="2022-09-30T00:00:00"/>
    <x v="1"/>
  </r>
  <r>
    <n v="247"/>
    <n v="169597063"/>
    <s v="Director"/>
    <x v="2"/>
    <s v="OmniaBio"/>
    <x v="0"/>
    <x v="3"/>
    <x v="0"/>
    <x v="224"/>
    <d v="2022-09-30T00:00:00"/>
    <x v="0"/>
  </r>
  <r>
    <n v="248"/>
    <n v="168100859"/>
    <s v="C-suite"/>
    <x v="1"/>
    <s v="Tmunity"/>
    <x v="4"/>
    <x v="16"/>
    <x v="0"/>
    <x v="225"/>
    <d v="2022-02-17T00:00:00"/>
    <x v="2"/>
  </r>
  <r>
    <n v="249"/>
    <n v="166551727"/>
    <s v="Technical Operations"/>
    <x v="4"/>
    <s v="Tome Biosciences"/>
    <x v="2"/>
    <x v="16"/>
    <x v="0"/>
    <x v="226"/>
    <d v="2022-02-18T00:00:00"/>
    <x v="2"/>
  </r>
  <r>
    <n v="250"/>
    <n v="166551723"/>
    <s v="Director"/>
    <x v="2"/>
    <s v="Tome Biosciences"/>
    <x v="2"/>
    <x v="16"/>
    <x v="0"/>
    <x v="227"/>
    <d v="2022-02-19T00:00:00"/>
    <x v="2"/>
  </r>
  <r>
    <n v="251"/>
    <n v="166551721"/>
    <m/>
    <x v="6"/>
    <s v="Touchlight"/>
    <x v="0"/>
    <x v="16"/>
    <x v="0"/>
    <x v="228"/>
    <d v="2022-02-20T00:00:00"/>
    <x v="2"/>
  </r>
  <r>
    <n v="252"/>
    <n v="168100850"/>
    <s v="Manager"/>
    <x v="0"/>
    <s v="Touchlight"/>
    <x v="0"/>
    <x v="16"/>
    <x v="0"/>
    <x v="229"/>
    <d v="2022-02-21T00:00:00"/>
    <x v="2"/>
  </r>
  <r>
    <n v="253"/>
    <n v="143060856"/>
    <s v="VP Product"/>
    <x v="3"/>
    <s v="TrakCel"/>
    <x v="0"/>
    <x v="16"/>
    <x v="0"/>
    <x v="230"/>
    <d v="2022-02-22T00:00:00"/>
    <x v="2"/>
  </r>
  <r>
    <n v="254"/>
    <n v="166549251"/>
    <m/>
    <x v="6"/>
    <s v="TrakCel"/>
    <x v="0"/>
    <x v="16"/>
    <x v="0"/>
    <x v="231"/>
    <d v="2022-02-23T00:00:00"/>
    <x v="2"/>
  </r>
  <r>
    <n v="255"/>
    <n v="166549223"/>
    <s v="VP Business Development"/>
    <x v="3"/>
    <s v="TrakCel"/>
    <x v="0"/>
    <x v="16"/>
    <x v="0"/>
    <x v="232"/>
    <d v="2022-02-24T00:00:00"/>
    <x v="2"/>
  </r>
  <r>
    <n v="256"/>
    <n v="166549229"/>
    <s v="Senior Director of Customer Experience &amp; Engagement"/>
    <x v="7"/>
    <s v="TrakCel"/>
    <x v="0"/>
    <x v="16"/>
    <x v="0"/>
    <x v="233"/>
    <d v="2022-02-25T00:00:00"/>
    <x v="2"/>
  </r>
  <r>
    <n v="257"/>
    <n v="166549237"/>
    <s v="VP Scientific Affairs &amp; Product Development"/>
    <x v="3"/>
    <s v="TrakCel"/>
    <x v="0"/>
    <x v="16"/>
    <x v="0"/>
    <x v="234"/>
    <d v="2022-02-26T00:00:00"/>
    <x v="2"/>
  </r>
  <r>
    <n v="258"/>
    <n v="166549233"/>
    <s v="C-suite"/>
    <x v="1"/>
    <s v="TrakCel"/>
    <x v="0"/>
    <x v="16"/>
    <x v="0"/>
    <x v="235"/>
    <d v="2022-02-27T00:00:00"/>
    <x v="2"/>
  </r>
  <r>
    <n v="259"/>
    <n v="166549243"/>
    <s v="C-suite"/>
    <x v="1"/>
    <s v="TrakCel"/>
    <x v="0"/>
    <x v="16"/>
    <x v="0"/>
    <x v="236"/>
    <d v="2022-02-28T00:00:00"/>
    <x v="2"/>
  </r>
  <r>
    <n v="260"/>
    <n v="166549225"/>
    <s v="Business development"/>
    <x v="4"/>
    <s v="TreeFrog Therapeutics"/>
    <x v="4"/>
    <x v="16"/>
    <x v="0"/>
    <x v="237"/>
    <d v="2022-03-01T00:00:00"/>
    <x v="2"/>
  </r>
  <r>
    <n v="261"/>
    <n v="166549215"/>
    <s v="Senior Vice President, Business Development"/>
    <x v="7"/>
    <s v="TTP plc"/>
    <x v="0"/>
    <x v="16"/>
    <x v="0"/>
    <x v="238"/>
    <d v="2022-03-02T00:00:00"/>
    <x v="2"/>
  </r>
  <r>
    <n v="262"/>
    <n v="166549231"/>
    <s v="Head of Cell and Gene"/>
    <x v="5"/>
    <s v="TTP plc"/>
    <x v="0"/>
    <x v="16"/>
    <x v="0"/>
    <x v="239"/>
    <d v="2022-03-03T00:00:00"/>
    <x v="2"/>
  </r>
  <r>
    <n v="263"/>
    <n v="166549247"/>
    <s v="Director"/>
    <x v="2"/>
    <s v="Tufts Medical Center"/>
    <x v="3"/>
    <x v="16"/>
    <x v="0"/>
    <x v="240"/>
    <d v="2022-03-04T00:00:00"/>
    <x v="2"/>
  </r>
  <r>
    <n v="264"/>
    <n v="166549235"/>
    <s v="C-suite"/>
    <x v="1"/>
    <s v="uBriGene Biosciences"/>
    <x v="2"/>
    <x v="16"/>
    <x v="0"/>
    <x v="241"/>
    <d v="2022-03-05T00:00:00"/>
    <x v="2"/>
  </r>
  <r>
    <n v="265"/>
    <n v="166549241"/>
    <s v="Director"/>
    <x v="2"/>
    <s v="uBriGene Biosciences"/>
    <x v="2"/>
    <x v="16"/>
    <x v="0"/>
    <x v="242"/>
    <d v="2022-03-06T00:00:00"/>
    <x v="2"/>
  </r>
  <r>
    <n v="266"/>
    <n v="170785399"/>
    <s v="Manager"/>
    <x v="0"/>
    <s v="UBS"/>
    <x v="0"/>
    <x v="16"/>
    <x v="0"/>
    <x v="243"/>
    <d v="2022-03-07T00:00:00"/>
    <x v="2"/>
  </r>
  <r>
    <n v="267"/>
    <n v="166549249"/>
    <s v="Assistant Professor"/>
    <x v="4"/>
    <s v="UCSF"/>
    <x v="3"/>
    <x v="16"/>
    <x v="0"/>
    <x v="244"/>
    <d v="2022-03-08T00:00:00"/>
    <x v="2"/>
  </r>
  <r>
    <n v="268"/>
    <n v="166549111"/>
    <s v="Director"/>
    <x v="2"/>
    <s v="3P innovation"/>
    <x v="0"/>
    <x v="16"/>
    <x v="0"/>
    <x v="245"/>
    <d v="2022-03-09T00:00:00"/>
    <x v="2"/>
  </r>
  <r>
    <n v="269"/>
    <n v="166549109"/>
    <s v="Director"/>
    <x v="2"/>
    <s v="3P innovation"/>
    <x v="0"/>
    <x v="16"/>
    <x v="0"/>
    <x v="246"/>
    <d v="2022-03-10T00:00:00"/>
    <x v="2"/>
  </r>
  <r>
    <n v="270"/>
    <n v="166552541"/>
    <s v="Head of Sales"/>
    <x v="5"/>
    <s v="Accellix"/>
    <x v="0"/>
    <x v="16"/>
    <x v="0"/>
    <x v="247"/>
    <d v="2022-03-11T00:00:00"/>
    <x v="2"/>
  </r>
  <r>
    <n v="271"/>
    <n v="166554235"/>
    <s v="Scientific"/>
    <x v="4"/>
    <s v="Accellix"/>
    <x v="0"/>
    <x v="16"/>
    <x v="0"/>
    <x v="248"/>
    <d v="2022-03-12T00:00:00"/>
    <x v="2"/>
  </r>
  <r>
    <n v="272"/>
    <n v="166554221"/>
    <s v="C-suite"/>
    <x v="1"/>
    <s v="Adaptimmune"/>
    <x v="4"/>
    <x v="16"/>
    <x v="0"/>
    <x v="249"/>
    <d v="2022-03-14T00:00:00"/>
    <x v="2"/>
  </r>
  <r>
    <n v="273"/>
    <n v="166554231"/>
    <s v="C-suite"/>
    <x v="1"/>
    <s v="adthera bio"/>
    <x v="2"/>
    <x v="16"/>
    <x v="0"/>
    <x v="250"/>
    <d v="2022-03-15T00:00:00"/>
    <x v="2"/>
  </r>
  <r>
    <n v="274"/>
    <n v="166554247"/>
    <s v="C-suite"/>
    <x v="1"/>
    <s v="Advent Bioservices"/>
    <x v="0"/>
    <x v="16"/>
    <x v="0"/>
    <x v="251"/>
    <d v="2022-03-16T00:00:00"/>
    <x v="2"/>
  </r>
  <r>
    <n v="275"/>
    <n v="166549151"/>
    <s v="Head of Business Development"/>
    <x v="5"/>
    <s v="Anthony Nolan"/>
    <x v="0"/>
    <x v="16"/>
    <x v="0"/>
    <x v="252"/>
    <d v="2022-03-17T00:00:00"/>
    <x v="2"/>
  </r>
  <r>
    <n v="276"/>
    <n v="166842783"/>
    <s v="Director"/>
    <x v="2"/>
    <s v="Aptamer Group"/>
    <x v="2"/>
    <x v="16"/>
    <x v="0"/>
    <x v="253"/>
    <d v="2022-03-18T00:00:00"/>
    <x v="2"/>
  </r>
  <r>
    <n v="277"/>
    <n v="166842797"/>
    <s v="Manager"/>
    <x v="0"/>
    <s v="Astrea Bioseparations"/>
    <x v="0"/>
    <x v="16"/>
    <x v="0"/>
    <x v="254"/>
    <d v="2022-03-19T00:00:00"/>
    <x v="2"/>
  </r>
  <r>
    <n v="278"/>
    <n v="166842807"/>
    <s v="C-suite"/>
    <x v="1"/>
    <s v="Autolomous "/>
    <x v="0"/>
    <x v="16"/>
    <x v="0"/>
    <x v="255"/>
    <d v="2022-03-20T00:00:00"/>
    <x v="2"/>
  </r>
  <r>
    <n v="279"/>
    <n v="166842785"/>
    <s v="C-suite"/>
    <x v="1"/>
    <s v="Autolomous"/>
    <x v="0"/>
    <x v="16"/>
    <x v="0"/>
    <x v="256"/>
    <d v="2022-03-21T00:00:00"/>
    <x v="2"/>
  </r>
  <r>
    <n v="280"/>
    <n v="166552649"/>
    <s v="C-suite"/>
    <x v="1"/>
    <s v="AviadoBio"/>
    <x v="0"/>
    <x v="16"/>
    <x v="0"/>
    <x v="257"/>
    <d v="2022-03-22T00:00:00"/>
    <x v="2"/>
  </r>
  <r>
    <n v="281"/>
    <n v="166552589"/>
    <s v="VP Commercial"/>
    <x v="3"/>
    <s v="Biopharma Excellence by PharmaLex"/>
    <x v="0"/>
    <x v="16"/>
    <x v="0"/>
    <x v="258"/>
    <d v="2022-03-23T00:00:00"/>
    <x v="2"/>
  </r>
  <r>
    <n v="282"/>
    <n v="166549175"/>
    <s v="C-suite"/>
    <x v="1"/>
    <s v="Cell &amp; Gene Therapy Catapult"/>
    <x v="0"/>
    <x v="16"/>
    <x v="0"/>
    <x v="259"/>
    <d v="2022-03-25T00:00:00"/>
    <x v="2"/>
  </r>
  <r>
    <n v="283"/>
    <n v="166549183"/>
    <s v="Head of Transactions and International"/>
    <x v="5"/>
    <s v="Cell &amp; Gene Therapy Catapult"/>
    <x v="0"/>
    <x v="16"/>
    <x v="0"/>
    <x v="260"/>
    <d v="2022-03-26T00:00:00"/>
    <x v="2"/>
  </r>
  <r>
    <n v="284"/>
    <n v="166549185"/>
    <s v="Consultant"/>
    <x v="4"/>
    <s v="Cell One Partners"/>
    <x v="0"/>
    <x v="1"/>
    <x v="0"/>
    <x v="261"/>
    <d v="2022-03-27T00:00:00"/>
    <x v="2"/>
  </r>
  <r>
    <n v="285"/>
    <n v="165377610"/>
    <s v="consultant"/>
    <x v="4"/>
    <s v="Cellatoz Therapeutics"/>
    <x v="4"/>
    <x v="1"/>
    <x v="0"/>
    <x v="262"/>
    <d v="2022-03-28T00:00:00"/>
    <x v="2"/>
  </r>
  <r>
    <n v="286"/>
    <n v="153758457"/>
    <s v="C-suite"/>
    <x v="1"/>
    <s v="Cellular Origins"/>
    <x v="2"/>
    <x v="1"/>
    <x v="0"/>
    <x v="263"/>
    <d v="2022-03-29T00:00:00"/>
    <x v="2"/>
  </r>
  <r>
    <n v="287"/>
    <n v="156595027"/>
    <s v="Head of Manufacturing Innovation"/>
    <x v="5"/>
    <s v="Cell &amp; Gene Therapy Catapult"/>
    <x v="0"/>
    <x v="1"/>
    <x v="0"/>
    <x v="264"/>
    <d v="2022-03-30T00:00:00"/>
    <x v="2"/>
  </r>
  <r>
    <n v="288"/>
    <n v="167452618"/>
    <s v="Director"/>
    <x v="2"/>
    <s v="Charles River"/>
    <x v="0"/>
    <x v="1"/>
    <x v="0"/>
    <x v="265"/>
    <d v="2022-03-31T00:00:00"/>
    <x v="2"/>
  </r>
  <r>
    <n v="289"/>
    <n v="157995282"/>
    <s v="Director"/>
    <x v="2"/>
    <s v="Charles River "/>
    <x v="0"/>
    <x v="1"/>
    <x v="0"/>
    <x v="266"/>
    <d v="2022-04-01T00:00:00"/>
    <x v="2"/>
  </r>
  <r>
    <n v="290"/>
    <n v="166551457"/>
    <s v="Manager"/>
    <x v="0"/>
    <s v="Dark Horse Consulting"/>
    <x v="0"/>
    <x v="1"/>
    <x v="0"/>
    <x v="267"/>
    <d v="2022-04-02T00:00:00"/>
    <x v="2"/>
  </r>
  <r>
    <n v="291"/>
    <n v="168100991"/>
    <s v="Senior Partner"/>
    <x v="7"/>
    <s v="Delin Ventures"/>
    <x v="1"/>
    <x v="1"/>
    <x v="0"/>
    <x v="268"/>
    <d v="2022-04-03T00:00:00"/>
    <x v="2"/>
  </r>
  <r>
    <n v="292"/>
    <n v="166843377"/>
    <m/>
    <x v="6"/>
    <s v="Kings College London"/>
    <x v="3"/>
    <x v="10"/>
    <x v="3"/>
    <x v="269"/>
    <d v="2022-04-04T00:00:00"/>
    <x v="2"/>
  </r>
  <r>
    <n v="293"/>
    <n v="166551473"/>
    <s v="Principal"/>
    <x v="9"/>
    <s v="Lindville Bio"/>
    <x v="2"/>
    <x v="1"/>
    <x v="0"/>
    <x v="270"/>
    <d v="2022-04-05T00:00:00"/>
    <x v="2"/>
  </r>
  <r>
    <n v="294"/>
    <n v="170997199"/>
    <s v="C-suite"/>
    <x v="1"/>
    <s v="MicrofluidX"/>
    <x v="0"/>
    <x v="1"/>
    <x v="0"/>
    <x v="271"/>
    <d v="2022-04-06T00:00:00"/>
    <x v="2"/>
  </r>
  <r>
    <n v="295"/>
    <n v="170999329"/>
    <s v="Senior Microfluidic Engineer"/>
    <x v="7"/>
    <s v="MicrofluidX"/>
    <x v="0"/>
    <x v="1"/>
    <x v="0"/>
    <x v="272"/>
    <d v="2022-04-07T00:00:00"/>
    <x v="2"/>
  </r>
  <r>
    <n v="296"/>
    <n v="166488248"/>
    <s v="VP Bioprocessing &amp; Applications "/>
    <x v="3"/>
    <s v="MicrofluidX"/>
    <x v="0"/>
    <x v="1"/>
    <x v="0"/>
    <x v="273"/>
    <d v="2022-04-08T00:00:00"/>
    <x v="2"/>
  </r>
  <r>
    <n v="297"/>
    <n v="158216386"/>
    <s v="Senior Bioprocessing Scientist"/>
    <x v="7"/>
    <s v="MicrofluidX"/>
    <x v="0"/>
    <x v="1"/>
    <x v="0"/>
    <x v="274"/>
    <d v="2022-04-09T00:00:00"/>
    <x v="2"/>
  </r>
  <r>
    <n v="298"/>
    <n v="166843899"/>
    <s v="C-suite"/>
    <x v="1"/>
    <m/>
    <x v="0"/>
    <x v="1"/>
    <x v="0"/>
    <x v="275"/>
    <d v="2022-04-10T00:00:00"/>
    <x v="2"/>
  </r>
  <r>
    <n v="299"/>
    <n v="166549227"/>
    <s v="Senior Director Manufacturing Science and Technology"/>
    <x v="7"/>
    <s v="Umoja Biopharma"/>
    <x v="4"/>
    <x v="1"/>
    <x v="0"/>
    <x v="276"/>
    <d v="2022-04-11T00:00:00"/>
    <x v="2"/>
  </r>
  <r>
    <n v="300"/>
    <n v="166549219"/>
    <s v="Manager"/>
    <x v="0"/>
    <s v="University of Birmingham"/>
    <x v="3"/>
    <x v="1"/>
    <x v="0"/>
    <x v="277"/>
    <d v="2022-04-12T00:00:00"/>
    <x v="2"/>
  </r>
  <r>
    <n v="301"/>
    <n v="166549239"/>
    <s v="Professor"/>
    <x v="4"/>
    <s v="University of Birmingham"/>
    <x v="3"/>
    <x v="1"/>
    <x v="0"/>
    <x v="278"/>
    <d v="2022-04-13T00:00:00"/>
    <x v="2"/>
  </r>
  <r>
    <n v="302"/>
    <n v="166549221"/>
    <s v="Assistant Professor"/>
    <x v="4"/>
    <s v="University of Birmingham"/>
    <x v="3"/>
    <x v="1"/>
    <x v="0"/>
    <x v="279"/>
    <d v="2022-04-14T00:00:00"/>
    <x v="2"/>
  </r>
  <r>
    <n v="303"/>
    <n v="167435634"/>
    <s v="Manager"/>
    <x v="0"/>
    <s v="University of Sheffield"/>
    <x v="3"/>
    <x v="1"/>
    <x v="0"/>
    <x v="280"/>
    <d v="2022-04-15T00:00:00"/>
    <x v="2"/>
  </r>
  <r>
    <n v="304"/>
    <n v="159087786"/>
    <s v="Director"/>
    <x v="2"/>
    <s v="US Food and Drug Administration"/>
    <x v="9"/>
    <x v="1"/>
    <x v="0"/>
    <x v="281"/>
    <d v="2022-04-16T00:00:00"/>
    <x v="2"/>
  </r>
  <r>
    <n v="305"/>
    <n v="165377586"/>
    <s v="C-suite"/>
    <x v="1"/>
    <s v="Turnstone Biologics"/>
    <x v="4"/>
    <x v="1"/>
    <x v="0"/>
    <x v="282"/>
    <d v="2022-04-17T00:00:00"/>
    <x v="2"/>
  </r>
  <r>
    <n v="306"/>
    <n v="165377588"/>
    <s v="Investor "/>
    <x v="4"/>
    <s v="1315 Capital"/>
    <x v="2"/>
    <x v="1"/>
    <x v="0"/>
    <x v="283"/>
    <d v="2022-04-18T00:00:00"/>
    <x v="2"/>
  </r>
  <r>
    <n v="307"/>
    <n v="148458568"/>
    <s v="Director"/>
    <x v="2"/>
    <s v="908 Devices"/>
    <x v="2"/>
    <x v="1"/>
    <x v="0"/>
    <x v="284"/>
    <d v="2022-04-19T00:00:00"/>
    <x v="2"/>
  </r>
  <r>
    <n v="308"/>
    <n v="148460262"/>
    <s v="REBEL Field Application Scientist"/>
    <x v="4"/>
    <s v="908 Devices"/>
    <x v="2"/>
    <x v="1"/>
    <x v="0"/>
    <x v="285"/>
    <d v="2022-04-20T00:00:00"/>
    <x v="2"/>
  </r>
  <r>
    <n v="309"/>
    <n v="143060770"/>
    <s v="ZipChip Field Sales Representative Sales, Life Sciences"/>
    <x v="4"/>
    <s v="908 Devices"/>
    <x v="2"/>
    <x v="1"/>
    <x v="0"/>
    <x v="286"/>
    <d v="2022-04-21T00:00:00"/>
    <x v="2"/>
  </r>
  <r>
    <n v="310"/>
    <n v="148460006"/>
    <s v="C-suite"/>
    <x v="1"/>
    <s v="908 Devices"/>
    <x v="2"/>
    <x v="1"/>
    <x v="0"/>
    <x v="287"/>
    <d v="2022-04-22T00:00:00"/>
    <x v="2"/>
  </r>
  <r>
    <n v="311"/>
    <n v="143026296"/>
    <s v="VP of Product Management and Marketing"/>
    <x v="3"/>
    <s v="908 Devices"/>
    <x v="2"/>
    <x v="1"/>
    <x v="0"/>
    <x v="288"/>
    <d v="2022-04-23T00:00:00"/>
    <x v="2"/>
  </r>
  <r>
    <n v="312"/>
    <n v="166551355"/>
    <s v="Director"/>
    <x v="2"/>
    <s v="AABB"/>
    <x v="3"/>
    <x v="1"/>
    <x v="0"/>
    <x v="289"/>
    <d v="2022-04-24T00:00:00"/>
    <x v="2"/>
  </r>
  <r>
    <n v="313"/>
    <n v="166554223"/>
    <s v="Director"/>
    <x v="2"/>
    <s v="AABB"/>
    <x v="3"/>
    <x v="1"/>
    <x v="0"/>
    <x v="290"/>
    <d v="2022-04-25T00:00:00"/>
    <x v="2"/>
  </r>
  <r>
    <n v="314"/>
    <n v="166554219"/>
    <s v="VP Manufacturing"/>
    <x v="3"/>
    <s v="AavantiBio"/>
    <x v="4"/>
    <x v="1"/>
    <x v="0"/>
    <x v="291"/>
    <d v="2022-04-26T00:00:00"/>
    <x v="2"/>
  </r>
  <r>
    <n v="315"/>
    <n v="166554239"/>
    <s v="Senior Business Development Manager"/>
    <x v="7"/>
    <s v="ABL Biomanufacturing"/>
    <x v="4"/>
    <x v="1"/>
    <x v="0"/>
    <x v="292"/>
    <d v="2022-04-27T00:00:00"/>
    <x v="2"/>
  </r>
  <r>
    <n v="316"/>
    <n v="166552527"/>
    <s v="Head of Marketing"/>
    <x v="5"/>
    <s v="ABL Biomanufacturing"/>
    <x v="4"/>
    <x v="1"/>
    <x v="0"/>
    <x v="293"/>
    <d v="2022-04-28T00:00:00"/>
    <x v="2"/>
  </r>
  <r>
    <n v="317"/>
    <n v="166552531"/>
    <s v="Senior Strategic Business Development Mgr"/>
    <x v="7"/>
    <s v="ABL Biomanufacturing"/>
    <x v="4"/>
    <x v="1"/>
    <x v="0"/>
    <x v="294"/>
    <d v="2022-04-29T00:00:00"/>
    <x v="2"/>
  </r>
  <r>
    <n v="318"/>
    <n v="166552545"/>
    <s v="Manager"/>
    <x v="0"/>
    <s v="Accellix"/>
    <x v="0"/>
    <x v="1"/>
    <x v="0"/>
    <x v="295"/>
    <d v="2022-04-30T00:00:00"/>
    <x v="2"/>
  </r>
  <r>
    <n v="319"/>
    <n v="166554249"/>
    <s v="Manager"/>
    <x v="0"/>
    <s v="Accellix"/>
    <x v="0"/>
    <x v="1"/>
    <x v="0"/>
    <x v="296"/>
    <d v="2022-05-01T00:00:00"/>
    <x v="2"/>
  </r>
  <r>
    <n v="320"/>
    <n v="166552523"/>
    <s v="Director"/>
    <x v="2"/>
    <s v="Accellix"/>
    <x v="0"/>
    <x v="1"/>
    <x v="0"/>
    <x v="297"/>
    <d v="2022-05-02T00:00:00"/>
    <x v="2"/>
  </r>
  <r>
    <n v="321"/>
    <n v="166554233"/>
    <s v="Manager"/>
    <x v="0"/>
    <s v="Accellix"/>
    <x v="0"/>
    <x v="1"/>
    <x v="0"/>
    <x v="298"/>
    <d v="2022-05-03T00:00:00"/>
    <x v="2"/>
  </r>
  <r>
    <n v="322"/>
    <n v="166552551"/>
    <s v="VP Sales &amp; Marketing"/>
    <x v="3"/>
    <s v="Accellix"/>
    <x v="0"/>
    <x v="1"/>
    <x v="0"/>
    <x v="299"/>
    <d v="2022-05-04T00:00:00"/>
    <x v="2"/>
  </r>
  <r>
    <n v="323"/>
    <n v="166841271"/>
    <s v="Scientific"/>
    <x v="4"/>
    <s v="Accellix"/>
    <x v="0"/>
    <x v="1"/>
    <x v="0"/>
    <x v="300"/>
    <d v="2022-05-05T00:00:00"/>
    <x v="2"/>
  </r>
  <r>
    <n v="324"/>
    <n v="166841275"/>
    <s v="Manager"/>
    <x v="0"/>
    <s v="Accellix"/>
    <x v="0"/>
    <x v="1"/>
    <x v="0"/>
    <x v="301"/>
    <d v="2022-05-06T00:00:00"/>
    <x v="2"/>
  </r>
  <r>
    <n v="325"/>
    <n v="166554245"/>
    <s v="C-suite"/>
    <x v="1"/>
    <s v="Adaptimmune"/>
    <x v="4"/>
    <x v="1"/>
    <x v="0"/>
    <x v="302"/>
    <d v="2022-05-07T00:00:00"/>
    <x v="2"/>
  </r>
  <r>
    <n v="326"/>
    <n v="166552519"/>
    <s v="C-suite"/>
    <x v="1"/>
    <s v="Adicet bio"/>
    <x v="2"/>
    <x v="1"/>
    <x v="0"/>
    <x v="303"/>
    <d v="2022-05-08T00:00:00"/>
    <x v="2"/>
  </r>
  <r>
    <n v="327"/>
    <n v="166552525"/>
    <s v="Manager"/>
    <x v="0"/>
    <s v="AGC Biologics"/>
    <x v="3"/>
    <x v="1"/>
    <x v="0"/>
    <x v="304"/>
    <d v="2022-05-09T00:00:00"/>
    <x v="2"/>
  </r>
  <r>
    <n v="328"/>
    <n v="166552521"/>
    <s v="Senior Director, Business Development, Cell and Gene Therapy"/>
    <x v="7"/>
    <s v="AGC Biologics"/>
    <x v="0"/>
    <x v="3"/>
    <x v="0"/>
    <x v="305"/>
    <d v="2022-05-10T00:00:00"/>
    <x v="2"/>
  </r>
  <r>
    <n v="329"/>
    <n v="166552515"/>
    <s v="Manager"/>
    <x v="0"/>
    <s v="Akron Bio"/>
    <x v="0"/>
    <x v="3"/>
    <x v="0"/>
    <x v="306"/>
    <d v="2022-05-16T00:00:00"/>
    <x v="2"/>
  </r>
  <r>
    <n v="330"/>
    <n v="166552517"/>
    <s v="VP of Sales"/>
    <x v="3"/>
    <s v="Akron Bio"/>
    <x v="0"/>
    <x v="3"/>
    <x v="0"/>
    <x v="306"/>
    <d v="2022-05-20T00:00:00"/>
    <x v="2"/>
  </r>
  <r>
    <n v="331"/>
    <n v="166552543"/>
    <s v="Senior Director, Global Business Development, Cell and Gene Therapy"/>
    <x v="7"/>
    <s v="AGC Biologics"/>
    <x v="0"/>
    <x v="3"/>
    <x v="0"/>
    <x v="306"/>
    <d v="2022-05-11T00:00:00"/>
    <x v="2"/>
  </r>
  <r>
    <n v="332"/>
    <n v="166552549"/>
    <s v="VP of Business Development, Cell Therapy"/>
    <x v="3"/>
    <s v="Akadeum Life Sciences"/>
    <x v="0"/>
    <x v="3"/>
    <x v="0"/>
    <x v="306"/>
    <d v="2022-05-13T00:00:00"/>
    <x v="2"/>
  </r>
  <r>
    <n v="333"/>
    <n v="166554227"/>
    <s v="Managing Partner"/>
    <x v="4"/>
    <s v="Akeso"/>
    <x v="3"/>
    <x v="3"/>
    <x v="0"/>
    <x v="306"/>
    <d v="2022-05-14T00:00:00"/>
    <x v="2"/>
  </r>
  <r>
    <n v="334"/>
    <n v="166554251"/>
    <s v="Associate"/>
    <x v="8"/>
    <s v="Akadeum Life Sciences"/>
    <x v="0"/>
    <x v="3"/>
    <x v="0"/>
    <x v="306"/>
    <d v="2022-05-12T00:00:00"/>
    <x v="2"/>
  </r>
  <r>
    <n v="335"/>
    <n v="166841283"/>
    <s v="VP Sales"/>
    <x v="3"/>
    <s v="Aldevron"/>
    <x v="0"/>
    <x v="3"/>
    <x v="0"/>
    <x v="306"/>
    <d v="2022-05-25T00:00:00"/>
    <x v="2"/>
  </r>
  <r>
    <n v="336"/>
    <n v="166554241"/>
    <s v="Director"/>
    <x v="2"/>
    <s v="Akron Bio"/>
    <x v="0"/>
    <x v="3"/>
    <x v="0"/>
    <x v="307"/>
    <d v="2022-05-15T00:00:00"/>
    <x v="2"/>
  </r>
  <r>
    <n v="337"/>
    <n v="166552529"/>
    <s v="C-suite"/>
    <x v="1"/>
    <s v="Akron Bio"/>
    <x v="0"/>
    <x v="3"/>
    <x v="0"/>
    <x v="308"/>
    <d v="2022-05-17T00:00:00"/>
    <x v="2"/>
  </r>
  <r>
    <n v="338"/>
    <n v="166549139"/>
    <s v="Business development"/>
    <x v="4"/>
    <s v="AmplifyBio"/>
    <x v="2"/>
    <x v="10"/>
    <x v="3"/>
    <x v="309"/>
    <d v="2022-06-01T00:00:00"/>
    <x v="2"/>
  </r>
  <r>
    <n v="339"/>
    <n v="166552535"/>
    <s v="VP of Product Development and Planning"/>
    <x v="3"/>
    <s v="Akron Bio"/>
    <x v="0"/>
    <x v="3"/>
    <x v="0"/>
    <x v="309"/>
    <d v="2022-05-18T00:00:00"/>
    <x v="2"/>
  </r>
  <r>
    <n v="340"/>
    <n v="166557643"/>
    <s v="Business Consultant"/>
    <x v="4"/>
    <s v="Business Consultant"/>
    <x v="2"/>
    <x v="16"/>
    <x v="0"/>
    <x v="309"/>
    <d v="2022-03-24T00:00:00"/>
    <x v="2"/>
  </r>
  <r>
    <n v="341"/>
    <n v="166606247"/>
    <s v="C-suite"/>
    <x v="1"/>
    <s v="AmplifyBio"/>
    <x v="2"/>
    <x v="15"/>
    <x v="0"/>
    <x v="309"/>
    <d v="2022-06-04T00:00:00"/>
    <x v="3"/>
  </r>
  <r>
    <n v="342"/>
    <n v="166841281"/>
    <s v="Patient Supply Operations"/>
    <x v="4"/>
    <s v="Achilles Therapeutics "/>
    <x v="2"/>
    <x v="16"/>
    <x v="0"/>
    <x v="309"/>
    <d v="2022-03-13T00:00:00"/>
    <x v="2"/>
  </r>
  <r>
    <n v="343"/>
    <n v="166841293"/>
    <s v="C-suite"/>
    <x v="1"/>
    <s v="Alliance for Regenerative Medicine"/>
    <x v="5"/>
    <x v="3"/>
    <x v="0"/>
    <x v="309"/>
    <d v="2022-05-29T00:00:00"/>
    <x v="2"/>
  </r>
  <r>
    <n v="344"/>
    <n v="166554237"/>
    <s v="Director"/>
    <x v="2"/>
    <s v="Akron Bio"/>
    <x v="0"/>
    <x v="3"/>
    <x v="0"/>
    <x v="310"/>
    <d v="2022-05-19T00:00:00"/>
    <x v="2"/>
  </r>
  <r>
    <n v="345"/>
    <n v="168098777"/>
    <s v="Senior Mgr Commercial Enablement"/>
    <x v="7"/>
    <s v="Aldevron"/>
    <x v="0"/>
    <x v="3"/>
    <x v="0"/>
    <x v="311"/>
    <d v="2022-05-21T00:00:00"/>
    <x v="2"/>
  </r>
  <r>
    <n v="346"/>
    <n v="166841273"/>
    <s v="Manager"/>
    <x v="0"/>
    <s v="Aldevron"/>
    <x v="0"/>
    <x v="3"/>
    <x v="0"/>
    <x v="312"/>
    <d v="2022-05-22T00:00:00"/>
    <x v="2"/>
  </r>
  <r>
    <n v="347"/>
    <n v="166841279"/>
    <s v="VP Client Services, DNA"/>
    <x v="3"/>
    <s v="Aldevron"/>
    <x v="0"/>
    <x v="3"/>
    <x v="0"/>
    <x v="313"/>
    <d v="2022-05-23T00:00:00"/>
    <x v="2"/>
  </r>
  <r>
    <n v="348"/>
    <n v="166841269"/>
    <s v="Manager"/>
    <x v="0"/>
    <s v="Aldevron"/>
    <x v="0"/>
    <x v="3"/>
    <x v="0"/>
    <x v="314"/>
    <d v="2022-05-24T00:00:00"/>
    <x v="2"/>
  </r>
  <r>
    <n v="349"/>
    <n v="166841289"/>
    <s v="Manager"/>
    <x v="0"/>
    <s v="Aldevron"/>
    <x v="0"/>
    <x v="3"/>
    <x v="0"/>
    <x v="315"/>
    <d v="2022-05-26T00:00:00"/>
    <x v="2"/>
  </r>
  <r>
    <n v="350"/>
    <n v="166841287"/>
    <s v="Senior Director Business Development"/>
    <x v="7"/>
    <s v="Aldevron"/>
    <x v="0"/>
    <x v="3"/>
    <x v="0"/>
    <x v="316"/>
    <d v="2022-05-27T00:00:00"/>
    <x v="2"/>
  </r>
  <r>
    <n v="351"/>
    <n v="166841285"/>
    <s v="C-suite"/>
    <x v="1"/>
    <s v="Alliance for Regenerative Medicine"/>
    <x v="5"/>
    <x v="3"/>
    <x v="0"/>
    <x v="317"/>
    <d v="2022-05-28T00:00:00"/>
    <x v="2"/>
  </r>
  <r>
    <n v="352"/>
    <n v="166841291"/>
    <s v="C-suite"/>
    <x v="1"/>
    <s v="Alloplex Biotherapeutics"/>
    <x v="4"/>
    <x v="3"/>
    <x v="0"/>
    <x v="318"/>
    <d v="2022-05-30T00:00:00"/>
    <x v="2"/>
  </r>
  <r>
    <n v="353"/>
    <n v="166841297"/>
    <s v="C-suite"/>
    <x v="1"/>
    <s v="American Society of Gene &amp; Cell Therapy"/>
    <x v="2"/>
    <x v="15"/>
    <x v="0"/>
    <x v="319"/>
    <d v="2022-05-31T00:00:00"/>
    <x v="2"/>
  </r>
  <r>
    <n v="354"/>
    <n v="165377590"/>
    <s v="C-suite"/>
    <x v="1"/>
    <s v="AmplifyBio"/>
    <x v="2"/>
    <x v="15"/>
    <x v="0"/>
    <x v="320"/>
    <d v="2022-06-02T00:00:00"/>
    <x v="2"/>
  </r>
  <r>
    <n v="355"/>
    <n v="165377598"/>
    <s v="C-suite"/>
    <x v="1"/>
    <s v="AmplifyBio"/>
    <x v="2"/>
    <x v="15"/>
    <x v="0"/>
    <x v="321"/>
    <d v="2022-06-03T00:00:00"/>
    <x v="3"/>
  </r>
  <r>
    <n v="356"/>
    <n v="171000808"/>
    <m/>
    <x v="6"/>
    <s v="Corning Life Sciences "/>
    <x v="0"/>
    <x v="15"/>
    <x v="0"/>
    <x v="322"/>
    <d v="2022-12-16T00:00:00"/>
    <x v="4"/>
  </r>
  <r>
    <n v="357"/>
    <n v="157993474"/>
    <s v="Associate"/>
    <x v="8"/>
    <s v="Avego Management"/>
    <x v="1"/>
    <x v="15"/>
    <x v="0"/>
    <x v="323"/>
    <d v="2022-11-30T00:00:00"/>
    <x v="5"/>
  </r>
  <r>
    <n v="358"/>
    <n v="166551737"/>
    <s v="Senior  Event Marketing Specialist"/>
    <x v="7"/>
    <s v="Thermo Fisher Scientific"/>
    <x v="0"/>
    <x v="17"/>
    <x v="1"/>
    <x v="324"/>
    <d v="2023-02-25T00:00:00"/>
    <x v="6"/>
  </r>
  <r>
    <n v="359"/>
    <n v="168100952"/>
    <s v="Master Practice Expert"/>
    <x v="4"/>
    <s v="Dark Horse Consulting"/>
    <x v="0"/>
    <x v="15"/>
    <x v="0"/>
    <x v="325"/>
    <d v="2023-01-08T00:00:00"/>
    <x v="4"/>
  </r>
  <r>
    <n v="360"/>
    <n v="169596442"/>
    <s v="C-suite"/>
    <x v="1"/>
    <s v="Foundation for Angelman Syndrome Therapeutics"/>
    <x v="2"/>
    <x v="15"/>
    <x v="0"/>
    <x v="326"/>
    <d v="2023-02-18T00:00:00"/>
    <x v="4"/>
  </r>
  <r>
    <n v="361"/>
    <n v="169596427"/>
    <s v="Strategic Planning Administrator"/>
    <x v="4"/>
    <s v="Foundation for the Accreditation of Cellular Therapy"/>
    <x v="2"/>
    <x v="15"/>
    <x v="0"/>
    <x v="327"/>
    <d v="2023-02-19T00:00:00"/>
    <x v="4"/>
  </r>
  <r>
    <n v="362"/>
    <n v="169597480"/>
    <s v="C-suite"/>
    <x v="1"/>
    <s v="Citra BioConsulting"/>
    <x v="2"/>
    <x v="15"/>
    <x v="0"/>
    <x v="328"/>
    <d v="2022-12-07T00:00:00"/>
    <x v="4"/>
  </r>
  <r>
    <n v="363"/>
    <n v="169596445"/>
    <s v="Manager"/>
    <x v="0"/>
    <s v="Foundation for the Accreditation of Cellular Therapy"/>
    <x v="2"/>
    <x v="15"/>
    <x v="0"/>
    <x v="329"/>
    <d v="2023-02-20T00:00:00"/>
    <x v="4"/>
  </r>
  <r>
    <n v="364"/>
    <n v="166551685"/>
    <s v="Senior Sales"/>
    <x v="7"/>
    <s v="Terumo Blood and Cell Technologies"/>
    <x v="0"/>
    <x v="17"/>
    <x v="1"/>
    <x v="330"/>
    <d v="2023-01-19T00:00:00"/>
    <x v="7"/>
  </r>
  <r>
    <n v="365"/>
    <n v="166549257"/>
    <s v="Consultant"/>
    <x v="4"/>
    <s v="ValueQonnect"/>
    <x v="2"/>
    <x v="17"/>
    <x v="1"/>
    <x v="331"/>
    <d v="2023-03-22T00:00:00"/>
    <x v="6"/>
  </r>
  <r>
    <n v="366"/>
    <n v="166549259"/>
    <s v="Professor"/>
    <x v="4"/>
    <s v="UT Southwestern Medical Center"/>
    <x v="3"/>
    <x v="17"/>
    <x v="1"/>
    <x v="332"/>
    <d v="2023-03-21T00:00:00"/>
    <x v="6"/>
  </r>
  <r>
    <n v="367"/>
    <n v="166551695"/>
    <s v="Manager"/>
    <x v="0"/>
    <s v="Terumo Blood and Cell Technologies"/>
    <x v="0"/>
    <x v="17"/>
    <x v="1"/>
    <x v="333"/>
    <d v="2023-01-20T00:00:00"/>
    <x v="7"/>
  </r>
  <r>
    <n v="368"/>
    <n v="166843903"/>
    <s v="C-suite"/>
    <x v="1"/>
    <s v="Texcell-North America"/>
    <x v="0"/>
    <x v="17"/>
    <x v="1"/>
    <x v="334"/>
    <d v="2023-02-01T00:00:00"/>
    <x v="8"/>
  </r>
  <r>
    <n v="369"/>
    <n v="166842805"/>
    <s v="Senior Vice President, Research and Development"/>
    <x v="7"/>
    <s v="Aspen Neuroscience"/>
    <x v="4"/>
    <x v="15"/>
    <x v="0"/>
    <x v="335"/>
    <d v="2022-11-30T00:00:00"/>
    <x v="5"/>
  </r>
  <r>
    <n v="370"/>
    <n v="169597006"/>
    <s v="Senior Practice Expert"/>
    <x v="7"/>
    <s v="Dark Horse Consulting"/>
    <x v="0"/>
    <x v="15"/>
    <x v="0"/>
    <x v="336"/>
    <d v="2023-01-09T00:00:00"/>
    <x v="4"/>
  </r>
  <r>
    <n v="371"/>
    <n v="169596469"/>
    <s v="Senior Software Sales"/>
    <x v="7"/>
    <s v="Emerson Automation solutions"/>
    <x v="0"/>
    <x v="15"/>
    <x v="0"/>
    <x v="337"/>
    <d v="2023-01-28T00:00:00"/>
    <x v="4"/>
  </r>
  <r>
    <n v="372"/>
    <n v="157993746"/>
    <s v="Senior Principal"/>
    <x v="7"/>
    <s v="Dark Horse Consulting"/>
    <x v="0"/>
    <x v="15"/>
    <x v="0"/>
    <x v="338"/>
    <d v="2023-01-12T00:00:00"/>
    <x v="4"/>
  </r>
  <r>
    <n v="373"/>
    <n v="166841749"/>
    <s v="Principal"/>
    <x v="9"/>
    <s v="Vertex Pharmaceutical "/>
    <x v="4"/>
    <x v="17"/>
    <x v="1"/>
    <x v="339"/>
    <d v="2023-03-17T00:00:00"/>
    <x v="6"/>
  </r>
  <r>
    <n v="374"/>
    <n v="166842337"/>
    <s v="Senior Vice President - Global Strategic Manufacturing"/>
    <x v="7"/>
    <s v="Iovance Biotherapeutics"/>
    <x v="4"/>
    <x v="15"/>
    <x v="0"/>
    <x v="340"/>
    <d v="2023-02-10T00:00:00"/>
    <x v="7"/>
  </r>
  <r>
    <n v="375"/>
    <n v="166842323"/>
    <s v="Manager"/>
    <x v="0"/>
    <s v="Invetech"/>
    <x v="0"/>
    <x v="15"/>
    <x v="0"/>
    <x v="341"/>
    <d v="2023-02-09T00:00:00"/>
    <x v="7"/>
  </r>
  <r>
    <n v="376"/>
    <n v="171354543"/>
    <s v="Director"/>
    <x v="2"/>
    <s v="Iovance Biotherapeutics"/>
    <x v="4"/>
    <x v="1"/>
    <x v="0"/>
    <x v="342"/>
    <d v="2023-02-11T00:00:00"/>
    <x v="7"/>
  </r>
  <r>
    <n v="377"/>
    <n v="145297834"/>
    <s v="Senior Event Specialist"/>
    <x v="7"/>
    <s v="IPS-Integrated Project Services"/>
    <x v="0"/>
    <x v="1"/>
    <x v="0"/>
    <x v="343"/>
    <d v="2022-11-30T00:00:00"/>
    <x v="7"/>
  </r>
  <r>
    <n v="378"/>
    <n v="168100976"/>
    <m/>
    <x v="6"/>
    <s v="Corning Life Sciences "/>
    <x v="0"/>
    <x v="15"/>
    <x v="0"/>
    <x v="344"/>
    <d v="2022-12-12T00:00:00"/>
    <x v="4"/>
  </r>
  <r>
    <n v="379"/>
    <n v="168100988"/>
    <s v="Field Application Scientist"/>
    <x v="4"/>
    <s v="Corning Life Sciences "/>
    <x v="0"/>
    <x v="15"/>
    <x v="0"/>
    <x v="344"/>
    <d v="2022-12-11T00:00:00"/>
    <x v="4"/>
  </r>
  <r>
    <n v="380"/>
    <n v="166553365"/>
    <s v="Director"/>
    <x v="2"/>
    <s v="CAI"/>
    <x v="2"/>
    <x v="15"/>
    <x v="0"/>
    <x v="345"/>
    <d v="2022-10-13T00:00:00"/>
    <x v="4"/>
  </r>
  <r>
    <n v="381"/>
    <n v="166843615"/>
    <s v="Manager"/>
    <x v="0"/>
    <s v="Terumo Blood and Cell Technologies"/>
    <x v="0"/>
    <x v="17"/>
    <x v="1"/>
    <x v="346"/>
    <d v="2023-01-24T00:00:00"/>
    <x v="7"/>
  </r>
  <r>
    <n v="382"/>
    <n v="166841747"/>
    <s v="Director"/>
    <x v="2"/>
    <s v="Versiti"/>
    <x v="0"/>
    <x v="17"/>
    <x v="1"/>
    <x v="347"/>
    <d v="2023-03-24T00:00:00"/>
    <x v="6"/>
  </r>
  <r>
    <n v="383"/>
    <n v="168100961"/>
    <s v="Director"/>
    <x v="2"/>
    <s v="ElevateBio"/>
    <x v="0"/>
    <x v="15"/>
    <x v="0"/>
    <x v="348"/>
    <d v="2023-01-23T00:00:00"/>
    <x v="4"/>
  </r>
  <r>
    <n v="384"/>
    <n v="169597009"/>
    <s v="Associate"/>
    <x v="8"/>
    <s v="Gagnon Securities"/>
    <x v="0"/>
    <x v="15"/>
    <x v="0"/>
    <x v="349"/>
    <d v="2023-02-27T00:00:00"/>
    <x v="4"/>
  </r>
  <r>
    <n v="385"/>
    <n v="166843607"/>
    <s v="Scientific"/>
    <x v="4"/>
    <s v="Terumo Blood and Cell Technologies"/>
    <x v="0"/>
    <x v="17"/>
    <x v="1"/>
    <x v="350"/>
    <d v="2023-01-26T00:00:00"/>
    <x v="7"/>
  </r>
  <r>
    <n v="386"/>
    <n v="166552617"/>
    <s v="C-suite"/>
    <x v="1"/>
    <s v="Cabaletta Bio"/>
    <x v="4"/>
    <x v="15"/>
    <x v="0"/>
    <x v="351"/>
    <d v="2022-11-30T00:00:00"/>
    <x v="4"/>
  </r>
  <r>
    <n v="387"/>
    <n v="168101015"/>
    <s v="Principal"/>
    <x v="9"/>
    <s v="Dark Horse Consulting"/>
    <x v="0"/>
    <x v="15"/>
    <x v="0"/>
    <x v="352"/>
    <d v="2023-01-06T00:00:00"/>
    <x v="4"/>
  </r>
  <r>
    <n v="388"/>
    <n v="168101051"/>
    <s v="Director"/>
    <x v="2"/>
    <s v="FTI Consulting "/>
    <x v="0"/>
    <x v="15"/>
    <x v="0"/>
    <x v="353"/>
    <d v="2023-02-26T00:00:00"/>
    <x v="4"/>
  </r>
  <r>
    <n v="389"/>
    <n v="168101030"/>
    <s v="Founder"/>
    <x v="10"/>
    <s v="Dark Horse Consulting"/>
    <x v="0"/>
    <x v="15"/>
    <x v="0"/>
    <x v="354"/>
    <d v="2023-01-05T00:00:00"/>
    <x v="4"/>
  </r>
  <r>
    <n v="390"/>
    <n v="164928615"/>
    <s v="Sales"/>
    <x v="4"/>
    <s v="Curate Biosciences"/>
    <x v="0"/>
    <x v="15"/>
    <x v="0"/>
    <x v="355"/>
    <d v="2022-12-29T00:00:00"/>
    <x v="4"/>
  </r>
  <r>
    <n v="391"/>
    <n v="166551441"/>
    <m/>
    <x v="6"/>
    <s v="Cytotheryx"/>
    <x v="2"/>
    <x v="15"/>
    <x v="0"/>
    <x v="356"/>
    <d v="2022-12-31T00:00:00"/>
    <x v="4"/>
  </r>
  <r>
    <n v="392"/>
    <n v="166551431"/>
    <s v="C-suite"/>
    <x v="1"/>
    <s v="Curate Biosciences"/>
    <x v="0"/>
    <x v="15"/>
    <x v="0"/>
    <x v="357"/>
    <d v="2022-12-27T00:00:00"/>
    <x v="4"/>
  </r>
  <r>
    <n v="393"/>
    <n v="168101009"/>
    <s v="VP CMC"/>
    <x v="3"/>
    <s v="Eikonoklastes Therapeutics"/>
    <x v="2"/>
    <x v="15"/>
    <x v="0"/>
    <x v="358"/>
    <d v="2023-01-22T00:00:00"/>
    <x v="4"/>
  </r>
  <r>
    <n v="394"/>
    <n v="166552657"/>
    <s v="Director"/>
    <x v="2"/>
    <s v="CAI"/>
    <x v="2"/>
    <x v="15"/>
    <x v="0"/>
    <x v="359"/>
    <d v="2022-11-30T00:00:00"/>
    <x v="4"/>
  </r>
  <r>
    <n v="395"/>
    <n v="166551427"/>
    <s v="VP of Engg"/>
    <x v="3"/>
    <s v="Curate Biosciences"/>
    <x v="0"/>
    <x v="15"/>
    <x v="0"/>
    <x v="360"/>
    <d v="2022-12-26T00:00:00"/>
    <x v="4"/>
  </r>
  <r>
    <n v="396"/>
    <n v="166842813"/>
    <s v="Founder"/>
    <x v="10"/>
    <s v="Asimov"/>
    <x v="2"/>
    <x v="15"/>
    <x v="0"/>
    <x v="361"/>
    <d v="2022-11-30T00:00:00"/>
    <x v="5"/>
  </r>
  <r>
    <n v="397"/>
    <n v="166842769"/>
    <s v="Senior Director Business Development"/>
    <x v="7"/>
    <s v="Asimov"/>
    <x v="2"/>
    <x v="15"/>
    <x v="0"/>
    <x v="362"/>
    <d v="2022-11-30T00:00:00"/>
    <x v="5"/>
  </r>
  <r>
    <n v="398"/>
    <n v="166841753"/>
    <s v="Senior Director"/>
    <x v="7"/>
    <s v="Vertex Pharmaceutical "/>
    <x v="4"/>
    <x v="17"/>
    <x v="1"/>
    <x v="363"/>
    <d v="2023-03-18T00:00:00"/>
    <x v="6"/>
  </r>
  <r>
    <n v="399"/>
    <n v="166553371"/>
    <s v="Director"/>
    <x v="2"/>
    <s v="bluebird bio"/>
    <x v="4"/>
    <x v="15"/>
    <x v="0"/>
    <x v="364"/>
    <d v="2022-11-30T00:00:00"/>
    <x v="5"/>
  </r>
  <r>
    <n v="400"/>
    <n v="168101042"/>
    <s v="Consultant"/>
    <x v="4"/>
    <s v="Dark Horse Consulting"/>
    <x v="0"/>
    <x v="15"/>
    <x v="0"/>
    <x v="365"/>
    <d v="2023-01-07T00:00:00"/>
    <x v="4"/>
  </r>
  <r>
    <n v="401"/>
    <n v="166843381"/>
    <s v="Manager"/>
    <x v="0"/>
    <s v="Kite Pharma"/>
    <x v="7"/>
    <x v="1"/>
    <x v="0"/>
    <x v="366"/>
    <d v="2022-11-30T00:00:00"/>
    <x v="7"/>
  </r>
  <r>
    <n v="402"/>
    <n v="166551443"/>
    <s v="Director"/>
    <x v="2"/>
    <s v="Cytotheryx"/>
    <x v="2"/>
    <x v="15"/>
    <x v="0"/>
    <x v="367"/>
    <d v="2023-01-01T00:00:00"/>
    <x v="4"/>
  </r>
  <r>
    <n v="403"/>
    <n v="166551437"/>
    <s v="C-suite"/>
    <x v="1"/>
    <s v="Curate Biosciences"/>
    <x v="0"/>
    <x v="15"/>
    <x v="0"/>
    <x v="368"/>
    <d v="2022-12-28T00:00:00"/>
    <x v="4"/>
  </r>
  <r>
    <n v="404"/>
    <n v="169596454"/>
    <s v="Director"/>
    <x v="2"/>
    <s v="Forge Biologics"/>
    <x v="4"/>
    <x v="15"/>
    <x v="0"/>
    <x v="369"/>
    <d v="2023-02-15T00:00:00"/>
    <x v="4"/>
  </r>
  <r>
    <n v="405"/>
    <n v="166551453"/>
    <s v="C-suite"/>
    <x v="1"/>
    <s v="Curate Biosciences"/>
    <x v="0"/>
    <x v="15"/>
    <x v="0"/>
    <x v="370"/>
    <d v="2022-12-30T00:00:00"/>
    <x v="4"/>
  </r>
  <r>
    <n v="406"/>
    <n v="166842279"/>
    <s v="Marketing Coordinator"/>
    <x v="4"/>
    <s v="Genezen"/>
    <x v="0"/>
    <x v="10"/>
    <x v="3"/>
    <x v="371"/>
    <d v="2023-01-07T00:00:00"/>
    <x v="7"/>
  </r>
  <r>
    <n v="407"/>
    <n v="166552591"/>
    <s v="R&amp;D"/>
    <x v="4"/>
    <s v="Bausch+Stroebel"/>
    <x v="0"/>
    <x v="15"/>
    <x v="0"/>
    <x v="372"/>
    <d v="2022-11-30T00:00:00"/>
    <x v="5"/>
  </r>
  <r>
    <n v="408"/>
    <n v="166552681"/>
    <s v="Senior Corporate Account Executive "/>
    <x v="11"/>
    <s v="BioBridge Global"/>
    <x v="0"/>
    <x v="15"/>
    <x v="0"/>
    <x v="373"/>
    <d v="2022-11-30T00:00:00"/>
    <x v="5"/>
  </r>
  <r>
    <n v="409"/>
    <n v="166843403"/>
    <s v="Senior Solutions Consultant"/>
    <x v="7"/>
    <s v="Körber Pharma Software"/>
    <x v="0"/>
    <x v="1"/>
    <x v="0"/>
    <x v="374"/>
    <d v="2022-11-30T00:00:00"/>
    <x v="7"/>
  </r>
  <r>
    <n v="410"/>
    <n v="165377594"/>
    <s v="Manager"/>
    <x v="0"/>
    <s v="AmplifyBio"/>
    <x v="2"/>
    <x v="15"/>
    <x v="0"/>
    <x v="375"/>
    <d v="2022-11-30T00:00:00"/>
    <x v="3"/>
  </r>
  <r>
    <n v="411"/>
    <n v="166549165"/>
    <s v="VP GMP Quality and Compliance"/>
    <x v="3"/>
    <s v="Cabaletta Bio"/>
    <x v="4"/>
    <x v="15"/>
    <x v="0"/>
    <x v="376"/>
    <d v="2022-11-30T00:00:00"/>
    <x v="4"/>
  </r>
  <r>
    <n v="412"/>
    <n v="168099656"/>
    <s v="Manager"/>
    <x v="0"/>
    <s v="Thermo Fisher Scientific"/>
    <x v="0"/>
    <x v="17"/>
    <x v="1"/>
    <x v="377"/>
    <d v="2023-02-11T00:00:00"/>
    <x v="8"/>
  </r>
  <r>
    <n v="413"/>
    <n v="166549199"/>
    <s v="Principal"/>
    <x v="9"/>
    <s v="Heidrick &amp; Struggles "/>
    <x v="0"/>
    <x v="15"/>
    <x v="0"/>
    <x v="378"/>
    <d v="2023-01-27T00:00:00"/>
    <x v="7"/>
  </r>
  <r>
    <n v="414"/>
    <n v="166843379"/>
    <s v="Sales"/>
    <x v="4"/>
    <s v="Körber Pharma Software"/>
    <x v="0"/>
    <x v="1"/>
    <x v="0"/>
    <x v="379"/>
    <d v="2022-11-30T00:00:00"/>
    <x v="7"/>
  </r>
  <r>
    <n v="415"/>
    <n v="168099683"/>
    <s v="Biotech Specialist "/>
    <x v="4"/>
    <s v="Pall Corporation"/>
    <x v="0"/>
    <x v="17"/>
    <x v="1"/>
    <x v="380"/>
    <d v="2022-12-26T00:00:00"/>
    <x v="7"/>
  </r>
  <r>
    <n v="416"/>
    <n v="166552651"/>
    <s v="Manager"/>
    <x v="0"/>
    <s v="CAI"/>
    <x v="2"/>
    <x v="15"/>
    <x v="0"/>
    <x v="381"/>
    <d v="2022-11-30T00:00:00"/>
    <x v="4"/>
  </r>
  <r>
    <n v="417"/>
    <n v="166552689"/>
    <s v="Study Coordinator "/>
    <x v="4"/>
    <s v="Blood Assurance "/>
    <x v="10"/>
    <x v="15"/>
    <x v="0"/>
    <x v="382"/>
    <d v="2022-11-30T00:00:00"/>
    <x v="5"/>
  </r>
  <r>
    <n v="418"/>
    <n v="157995192"/>
    <s v="Director"/>
    <x v="2"/>
    <s v="Emerson Automation Solutions"/>
    <x v="0"/>
    <x v="15"/>
    <x v="0"/>
    <x v="383"/>
    <d v="2023-01-24T00:00:00"/>
    <x v="4"/>
  </r>
  <r>
    <n v="419"/>
    <n v="171232377"/>
    <s v="Global Head of Commercial"/>
    <x v="5"/>
    <s v="MilliporeSigma"/>
    <x v="0"/>
    <x v="17"/>
    <x v="1"/>
    <x v="384"/>
    <d v="2022-11-29T00:00:00"/>
    <x v="7"/>
  </r>
  <r>
    <n v="420"/>
    <n v="166551733"/>
    <s v="Director"/>
    <x v="2"/>
    <s v="Thermo Fisher Scientific"/>
    <x v="0"/>
    <x v="17"/>
    <x v="1"/>
    <x v="385"/>
    <d v="2023-03-01T00:00:00"/>
    <x v="6"/>
  </r>
  <r>
    <n v="421"/>
    <n v="166551753"/>
    <s v="CGT specialist"/>
    <x v="4"/>
    <s v="Thermo Fisher Scientific"/>
    <x v="0"/>
    <x v="17"/>
    <x v="1"/>
    <x v="386"/>
    <d v="2023-02-26T00:00:00"/>
    <x v="6"/>
  </r>
  <r>
    <n v="422"/>
    <n v="166549989"/>
    <s v="Director"/>
    <x v="2"/>
    <s v="Lonza Biologics"/>
    <x v="0"/>
    <x v="1"/>
    <x v="0"/>
    <x v="387"/>
    <d v="2022-11-30T00:00:00"/>
    <x v="7"/>
  </r>
  <r>
    <n v="423"/>
    <n v="166549973"/>
    <s v="Global Head of R&amp;D"/>
    <x v="5"/>
    <s v="Lonza Biologics"/>
    <x v="0"/>
    <x v="1"/>
    <x v="0"/>
    <x v="388"/>
    <d v="2022-11-30T00:00:00"/>
    <x v="7"/>
  </r>
  <r>
    <n v="424"/>
    <n v="166552593"/>
    <s v="Director"/>
    <x v="2"/>
    <s v="Barkey Corporation"/>
    <x v="0"/>
    <x v="15"/>
    <x v="0"/>
    <x v="389"/>
    <d v="2022-11-30T00:00:00"/>
    <x v="5"/>
  </r>
  <r>
    <n v="425"/>
    <n v="168099665"/>
    <s v="Manager"/>
    <x v="0"/>
    <m/>
    <x v="0"/>
    <x v="17"/>
    <x v="1"/>
    <x v="390"/>
    <d v="2023-02-22T00:00:00"/>
    <x v="8"/>
  </r>
  <r>
    <n v="426"/>
    <n v="165377596"/>
    <s v="Director"/>
    <x v="2"/>
    <s v="AmplifyBio"/>
    <x v="2"/>
    <x v="15"/>
    <x v="0"/>
    <x v="391"/>
    <d v="2022-11-30T00:00:00"/>
    <x v="3"/>
  </r>
  <r>
    <n v="427"/>
    <n v="157994598"/>
    <m/>
    <x v="6"/>
    <s v="Charles River"/>
    <x v="0"/>
    <x v="15"/>
    <x v="0"/>
    <x v="392"/>
    <d v="2022-11-24T00:00:00"/>
    <x v="4"/>
  </r>
  <r>
    <n v="428"/>
    <n v="166842799"/>
    <s v="Director"/>
    <x v="2"/>
    <s v="AST"/>
    <x v="0"/>
    <x v="15"/>
    <x v="0"/>
    <x v="393"/>
    <d v="2022-11-30T00:00:00"/>
    <x v="5"/>
  </r>
  <r>
    <n v="429"/>
    <n v="166553363"/>
    <s v="Director"/>
    <x v="2"/>
    <s v="CAI"/>
    <x v="2"/>
    <x v="15"/>
    <x v="0"/>
    <x v="394"/>
    <d v="2022-11-30T00:00:00"/>
    <x v="4"/>
  </r>
  <r>
    <n v="430"/>
    <n v="166552639"/>
    <s v="C-suite"/>
    <x v="1"/>
    <s v="BioLamina"/>
    <x v="0"/>
    <x v="15"/>
    <x v="0"/>
    <x v="395"/>
    <d v="2022-11-30T00:00:00"/>
    <x v="5"/>
  </r>
  <r>
    <n v="431"/>
    <n v="166549977"/>
    <m/>
    <x v="6"/>
    <s v="Longeveron"/>
    <x v="4"/>
    <x v="1"/>
    <x v="0"/>
    <x v="396"/>
    <d v="2022-11-30T00:00:00"/>
    <x v="7"/>
  </r>
  <r>
    <n v="432"/>
    <n v="168101264"/>
    <s v="Senior Vice President "/>
    <x v="7"/>
    <s v="Charles River "/>
    <x v="0"/>
    <x v="15"/>
    <x v="0"/>
    <x v="397"/>
    <d v="2022-11-26T00:00:00"/>
    <x v="4"/>
  </r>
  <r>
    <n v="433"/>
    <n v="166551683"/>
    <s v="Manager"/>
    <x v="0"/>
    <s v="Terumo Blood and Cell Technologies"/>
    <x v="0"/>
    <x v="17"/>
    <x v="1"/>
    <x v="398"/>
    <d v="2023-01-18T00:00:00"/>
    <x v="7"/>
  </r>
  <r>
    <n v="434"/>
    <n v="166551719"/>
    <s v="Global SME"/>
    <x v="4"/>
    <s v="Thermo Fisher Scientific"/>
    <x v="0"/>
    <x v="17"/>
    <x v="1"/>
    <x v="399"/>
    <d v="2023-02-27T00:00:00"/>
    <x v="6"/>
  </r>
  <r>
    <n v="435"/>
    <n v="166557649"/>
    <s v="Shareholder"/>
    <x v="4"/>
    <s v="Buchanan Ingersoll &amp; Rooney PC"/>
    <x v="0"/>
    <x v="15"/>
    <x v="0"/>
    <x v="400"/>
    <d v="2022-11-30T00:00:00"/>
    <x v="4"/>
  </r>
  <r>
    <n v="436"/>
    <n v="166843385"/>
    <s v="Director"/>
    <x v="2"/>
    <s v="Kite Pharma"/>
    <x v="7"/>
    <x v="10"/>
    <x v="3"/>
    <x v="401"/>
    <d v="2022-11-30T00:00:00"/>
    <x v="7"/>
  </r>
  <r>
    <n v="437"/>
    <n v="166843395"/>
    <s v="Director"/>
    <x v="2"/>
    <s v="KIte Pharma"/>
    <x v="7"/>
    <x v="10"/>
    <x v="3"/>
    <x v="401"/>
    <d v="2022-11-30T00:00:00"/>
    <x v="7"/>
  </r>
  <r>
    <n v="438"/>
    <n v="166553393"/>
    <s v="Director"/>
    <x v="2"/>
    <s v="Bristol Myers Squibb"/>
    <x v="7"/>
    <x v="15"/>
    <x v="0"/>
    <x v="402"/>
    <d v="2022-11-30T00:00:00"/>
    <x v="5"/>
  </r>
  <r>
    <n v="439"/>
    <n v="166549153"/>
    <s v="Director"/>
    <x v="2"/>
    <s v="Aspen Neuroscience"/>
    <x v="4"/>
    <x v="15"/>
    <x v="0"/>
    <x v="403"/>
    <d v="2022-11-30T00:00:00"/>
    <x v="5"/>
  </r>
  <r>
    <n v="440"/>
    <n v="166549981"/>
    <s v="Director"/>
    <x v="2"/>
    <s v="Lonza Biologics"/>
    <x v="0"/>
    <x v="1"/>
    <x v="0"/>
    <x v="404"/>
    <d v="2022-11-30T00:00:00"/>
    <x v="7"/>
  </r>
  <r>
    <n v="441"/>
    <n v="166552647"/>
    <s v="Manager"/>
    <x v="0"/>
    <s v="Azenta Life Sciences"/>
    <x v="0"/>
    <x v="15"/>
    <x v="0"/>
    <x v="405"/>
    <d v="2022-11-30T00:00:00"/>
    <x v="5"/>
  </r>
  <r>
    <n v="442"/>
    <n v="166557669"/>
    <s v="Director"/>
    <x v="2"/>
    <s v="Azenta Life Sciences"/>
    <x v="0"/>
    <x v="15"/>
    <x v="0"/>
    <x v="406"/>
    <d v="2022-11-30T00:00:00"/>
    <x v="5"/>
  </r>
  <r>
    <n v="443"/>
    <n v="166549255"/>
    <s v="Director"/>
    <x v="2"/>
    <s v="Versiti"/>
    <x v="0"/>
    <x v="17"/>
    <x v="1"/>
    <x v="407"/>
    <d v="2023-03-23T00:00:00"/>
    <x v="6"/>
  </r>
  <r>
    <n v="444"/>
    <n v="169596448"/>
    <s v="Senior Vice President"/>
    <x v="7"/>
    <s v="Forge Biologics"/>
    <x v="4"/>
    <x v="15"/>
    <x v="0"/>
    <x v="408"/>
    <d v="2023-02-16T00:00:00"/>
    <x v="4"/>
  </r>
  <r>
    <n v="445"/>
    <n v="166552621"/>
    <s v="Program Manger"/>
    <x v="4"/>
    <s v="BioBridge Global"/>
    <x v="0"/>
    <x v="15"/>
    <x v="0"/>
    <x v="409"/>
    <d v="2022-11-30T00:00:00"/>
    <x v="5"/>
  </r>
  <r>
    <n v="446"/>
    <n v="166549271"/>
    <s v="Senior Director Global BD Team"/>
    <x v="7"/>
    <s v="Viralgen Vector Core"/>
    <x v="2"/>
    <x v="9"/>
    <x v="0"/>
    <x v="410"/>
    <d v="2023-04-04T00:00:00"/>
    <x v="6"/>
  </r>
  <r>
    <n v="447"/>
    <n v="166843603"/>
    <s v="Director"/>
    <x v="2"/>
    <s v="Syneos Health"/>
    <x v="0"/>
    <x v="17"/>
    <x v="1"/>
    <x v="411"/>
    <d v="2023-01-04T00:00:00"/>
    <x v="7"/>
  </r>
  <r>
    <n v="448"/>
    <n v="165050816"/>
    <s v="Head of Cellular Therapy"/>
    <x v="5"/>
    <s v="Takeda / BioLife Cellular Therapies"/>
    <x v="7"/>
    <x v="17"/>
    <x v="1"/>
    <x v="412"/>
    <d v="2023-01-05T00:00:00"/>
    <x v="7"/>
  </r>
  <r>
    <n v="449"/>
    <n v="166551691"/>
    <s v="Director"/>
    <x v="2"/>
    <s v="Talaris Therapeutics"/>
    <x v="4"/>
    <x v="17"/>
    <x v="1"/>
    <x v="413"/>
    <d v="2023-01-10T00:00:00"/>
    <x v="7"/>
  </r>
  <r>
    <n v="450"/>
    <n v="166551729"/>
    <s v="Manager"/>
    <x v="0"/>
    <s v="Thermo Fisher Scientific"/>
    <x v="0"/>
    <x v="17"/>
    <x v="1"/>
    <x v="414"/>
    <d v="2023-03-10T00:00:00"/>
    <x v="6"/>
  </r>
  <r>
    <n v="451"/>
    <n v="157993204"/>
    <s v="Director"/>
    <x v="2"/>
    <s v="Charles River"/>
    <x v="0"/>
    <x v="15"/>
    <x v="0"/>
    <x v="415"/>
    <d v="2022-11-25T00:00:00"/>
    <x v="4"/>
  </r>
  <r>
    <n v="452"/>
    <n v="143041438"/>
    <s v="C-suite"/>
    <x v="1"/>
    <s v="AVROBIO"/>
    <x v="4"/>
    <x v="15"/>
    <x v="0"/>
    <x v="416"/>
    <d v="2022-11-30T00:00:00"/>
    <x v="5"/>
  </r>
  <r>
    <n v="453"/>
    <n v="170982679"/>
    <s v="Director"/>
    <x v="2"/>
    <s v="Music Beats Cancer"/>
    <x v="10"/>
    <x v="17"/>
    <x v="1"/>
    <x v="417"/>
    <d v="2022-12-03T00:00:00"/>
    <x v="7"/>
  </r>
  <r>
    <n v="454"/>
    <n v="148459342"/>
    <s v="C-suite"/>
    <x v="1"/>
    <s v="MVE Biological Solutions"/>
    <x v="0"/>
    <x v="17"/>
    <x v="1"/>
    <x v="418"/>
    <d v="2022-12-04T00:00:00"/>
    <x v="7"/>
  </r>
  <r>
    <n v="455"/>
    <n v="158338082"/>
    <s v="Manager"/>
    <x v="0"/>
    <s v="MilliporeSigma"/>
    <x v="0"/>
    <x v="17"/>
    <x v="1"/>
    <x v="419"/>
    <d v="2022-11-30T00:00:00"/>
    <x v="7"/>
  </r>
  <r>
    <n v="456"/>
    <n v="143033146"/>
    <s v="Director"/>
    <x v="2"/>
    <s v="MVE Biological Solutions"/>
    <x v="0"/>
    <x v="17"/>
    <x v="1"/>
    <x v="420"/>
    <d v="2022-12-05T00:00:00"/>
    <x v="7"/>
  </r>
  <r>
    <n v="457"/>
    <n v="166549993"/>
    <s v="VP BioIndustry"/>
    <x v="3"/>
    <s v="Miltenyi Biotec"/>
    <x v="0"/>
    <x v="17"/>
    <x v="1"/>
    <x v="421"/>
    <d v="2022-12-01T00:00:00"/>
    <x v="7"/>
  </r>
  <r>
    <n v="458"/>
    <n v="148457684"/>
    <s v="Manager"/>
    <x v="0"/>
    <s v="MVE Biological Solutions"/>
    <x v="0"/>
    <x v="17"/>
    <x v="1"/>
    <x v="422"/>
    <d v="2022-12-07T00:00:00"/>
    <x v="7"/>
  </r>
  <r>
    <n v="459"/>
    <n v="166553403"/>
    <s v="Manager"/>
    <x v="0"/>
    <s v="BioSolution Designs"/>
    <x v="0"/>
    <x v="15"/>
    <x v="0"/>
    <x v="423"/>
    <d v="2022-11-30T00:00:00"/>
    <x v="5"/>
  </r>
  <r>
    <n v="460"/>
    <n v="136264545"/>
    <s v="VP Sales"/>
    <x v="3"/>
    <s v="MVE Biological Solutions"/>
    <x v="0"/>
    <x v="17"/>
    <x v="1"/>
    <x v="424"/>
    <d v="2022-12-06T00:00:00"/>
    <x v="7"/>
  </r>
  <r>
    <n v="461"/>
    <n v="166551741"/>
    <m/>
    <x v="6"/>
    <s v="Thermo Fisher Scientific"/>
    <x v="0"/>
    <x v="17"/>
    <x v="1"/>
    <x v="425"/>
    <d v="2023-02-23T00:00:00"/>
    <x v="6"/>
  </r>
  <r>
    <n v="462"/>
    <n v="166557665"/>
    <s v="Strategic Technical Specialist"/>
    <x v="4"/>
    <s v="Azenta Life Sciences"/>
    <x v="0"/>
    <x v="15"/>
    <x v="0"/>
    <x v="426"/>
    <d v="2022-11-30T00:00:00"/>
    <x v="5"/>
  </r>
  <r>
    <n v="463"/>
    <n v="166553423"/>
    <s v="Manager"/>
    <x v="0"/>
    <s v="Excellos"/>
    <x v="2"/>
    <x v="15"/>
    <x v="0"/>
    <x v="427"/>
    <d v="2023-02-07T00:00:00"/>
    <x v="4"/>
  </r>
  <r>
    <n v="464"/>
    <n v="166842299"/>
    <s v="VP PD CT VV "/>
    <x v="3"/>
    <s v="Intellia "/>
    <x v="4"/>
    <x v="15"/>
    <x v="0"/>
    <x v="428"/>
    <d v="2023-02-01T00:00:00"/>
    <x v="7"/>
  </r>
  <r>
    <n v="465"/>
    <n v="170273305"/>
    <s v="Principal Research Technologist"/>
    <x v="9"/>
    <s v="Mayo Clinic"/>
    <x v="3"/>
    <x v="1"/>
    <x v="0"/>
    <x v="429"/>
    <d v="2022-11-30T00:00:00"/>
    <x v="7"/>
  </r>
  <r>
    <n v="466"/>
    <n v="166605947"/>
    <s v="Manager"/>
    <x v="0"/>
    <s v="MilliporeSigma"/>
    <x v="0"/>
    <x v="17"/>
    <x v="1"/>
    <x v="430"/>
    <d v="2022-11-28T00:00:00"/>
    <x v="7"/>
  </r>
  <r>
    <n v="467"/>
    <n v="166605943"/>
    <s v="Senior Business Development Manager"/>
    <x v="7"/>
    <s v="MilliporeSigma"/>
    <x v="0"/>
    <x v="1"/>
    <x v="0"/>
    <x v="431"/>
    <d v="2022-11-30T00:00:00"/>
    <x v="7"/>
  </r>
  <r>
    <n v="468"/>
    <n v="171354645"/>
    <s v="Manager"/>
    <x v="0"/>
    <s v="MilliporeSigma"/>
    <x v="0"/>
    <x v="17"/>
    <x v="1"/>
    <x v="432"/>
    <d v="2022-11-27T00:00:00"/>
    <x v="7"/>
  </r>
  <r>
    <n v="469"/>
    <n v="168101243"/>
    <s v="Director"/>
    <x v="2"/>
    <s v="National Institute for Innovation in Manufacturing Biopharmaceuticals (NIIMBL)"/>
    <x v="2"/>
    <x v="17"/>
    <x v="1"/>
    <x v="433"/>
    <d v="2022-12-11T00:00:00"/>
    <x v="7"/>
  </r>
  <r>
    <n v="470"/>
    <n v="168101252"/>
    <s v="Manager"/>
    <x v="0"/>
    <s v="Nitta Gelatin NA"/>
    <x v="0"/>
    <x v="17"/>
    <x v="1"/>
    <x v="434"/>
    <d v="2022-12-12T00:00:00"/>
    <x v="7"/>
  </r>
  <r>
    <n v="471"/>
    <n v="166841917"/>
    <s v="C-suite"/>
    <x v="1"/>
    <s v="Cellectis"/>
    <x v="4"/>
    <x v="15"/>
    <x v="0"/>
    <x v="435"/>
    <d v="2022-11-30T00:00:00"/>
    <x v="4"/>
  </r>
  <r>
    <n v="472"/>
    <n v="166841913"/>
    <s v="Senior VP US Manufacturing"/>
    <x v="7"/>
    <s v="Cellectis"/>
    <x v="4"/>
    <x v="15"/>
    <x v="0"/>
    <x v="436"/>
    <d v="2022-11-30T00:00:00"/>
    <x v="4"/>
  </r>
  <r>
    <n v="473"/>
    <n v="166841919"/>
    <s v="C-suite"/>
    <x v="1"/>
    <s v="Cellipont Bioservices "/>
    <x v="0"/>
    <x v="15"/>
    <x v="0"/>
    <x v="437"/>
    <d v="2022-11-30T00:00:00"/>
    <x v="4"/>
  </r>
  <r>
    <n v="474"/>
    <n v="164915589"/>
    <s v="C-suite"/>
    <x v="1"/>
    <s v="Cellsbin"/>
    <x v="2"/>
    <x v="15"/>
    <x v="0"/>
    <x v="438"/>
    <d v="2022-11-30T00:00:00"/>
    <x v="4"/>
  </r>
  <r>
    <n v="475"/>
    <n v="151462943"/>
    <s v="Consultant"/>
    <x v="4"/>
    <s v="Mayo Clinic"/>
    <x v="3"/>
    <x v="1"/>
    <x v="0"/>
    <x v="439"/>
    <d v="2022-11-30T00:00:00"/>
    <x v="7"/>
  </r>
  <r>
    <n v="476"/>
    <n v="166842331"/>
    <s v="R&amp;D"/>
    <x v="4"/>
    <s v="Gift of Life Marrow Registry"/>
    <x v="10"/>
    <x v="15"/>
    <x v="0"/>
    <x v="440"/>
    <d v="2023-01-17T00:00:00"/>
    <x v="7"/>
  </r>
  <r>
    <n v="477"/>
    <n v="166841775"/>
    <s v="Associate Scientist"/>
    <x v="8"/>
    <s v="Gift of Life Biologics"/>
    <x v="10"/>
    <x v="10"/>
    <x v="3"/>
    <x v="441"/>
    <d v="2023-01-11T00:00:00"/>
    <x v="7"/>
  </r>
  <r>
    <n v="478"/>
    <n v="166841783"/>
    <s v="Associate"/>
    <x v="8"/>
    <s v="Gift of Life Marrow Registry"/>
    <x v="10"/>
    <x v="15"/>
    <x v="0"/>
    <x v="442"/>
    <d v="2023-01-16T00:00:00"/>
    <x v="7"/>
  </r>
  <r>
    <n v="479"/>
    <n v="166841785"/>
    <s v="Director"/>
    <x v="2"/>
    <s v="Gift of Life Biologics"/>
    <x v="10"/>
    <x v="10"/>
    <x v="3"/>
    <x v="443"/>
    <d v="2023-01-13T00:00:00"/>
    <x v="7"/>
  </r>
  <r>
    <n v="480"/>
    <n v="166842291"/>
    <s v="C-suite"/>
    <x v="1"/>
    <s v="Gift of Life Marrow Registry"/>
    <x v="10"/>
    <x v="15"/>
    <x v="0"/>
    <x v="444"/>
    <d v="2023-01-18T00:00:00"/>
    <x v="7"/>
  </r>
  <r>
    <n v="481"/>
    <n v="166841781"/>
    <s v="Manager"/>
    <x v="0"/>
    <s v="Gift of Life Biologics"/>
    <x v="10"/>
    <x v="10"/>
    <x v="3"/>
    <x v="445"/>
    <d v="2023-01-15T00:00:00"/>
    <x v="7"/>
  </r>
  <r>
    <n v="482"/>
    <n v="166841777"/>
    <s v="C-suite"/>
    <x v="1"/>
    <s v="Gift of Life Biologics"/>
    <x v="10"/>
    <x v="10"/>
    <x v="3"/>
    <x v="446"/>
    <d v="2023-01-14T00:00:00"/>
    <x v="7"/>
  </r>
  <r>
    <n v="483"/>
    <n v="166841773"/>
    <s v="Director"/>
    <x v="2"/>
    <s v="Gift of Life Biologics"/>
    <x v="10"/>
    <x v="10"/>
    <x v="3"/>
    <x v="447"/>
    <d v="2023-01-12T00:00:00"/>
    <x v="7"/>
  </r>
  <r>
    <n v="484"/>
    <n v="166841947"/>
    <s v="Founder"/>
    <x v="10"/>
    <s v="HebeCell Corp"/>
    <x v="0"/>
    <x v="15"/>
    <x v="0"/>
    <x v="447"/>
    <d v="2023-01-25T00:00:00"/>
    <x v="7"/>
  </r>
  <r>
    <n v="485"/>
    <n v="166841953"/>
    <s v="Partner"/>
    <x v="4"/>
    <s v="Heidrick &amp; Struggles"/>
    <x v="0"/>
    <x v="15"/>
    <x v="0"/>
    <x v="447"/>
    <d v="2023-01-26T00:00:00"/>
    <x v="7"/>
  </r>
  <r>
    <n v="486"/>
    <n v="166842285"/>
    <m/>
    <x v="6"/>
    <s v="Global OT/IT Quality Services"/>
    <x v="0"/>
    <x v="15"/>
    <x v="0"/>
    <x v="447"/>
    <d v="2023-01-21T00:00:00"/>
    <x v="7"/>
  </r>
  <r>
    <n v="487"/>
    <n v="166842293"/>
    <s v="C-suite"/>
    <x v="1"/>
    <s v="Gyroscope Therapeutics"/>
    <x v="4"/>
    <x v="15"/>
    <x v="0"/>
    <x v="447"/>
    <d v="2023-01-23T00:00:00"/>
    <x v="7"/>
  </r>
  <r>
    <n v="488"/>
    <n v="166842303"/>
    <s v="Director"/>
    <x v="2"/>
    <s v="Hackensack university Medical Center"/>
    <x v="2"/>
    <x v="15"/>
    <x v="0"/>
    <x v="447"/>
    <d v="2023-01-24T00:00:00"/>
    <x v="7"/>
  </r>
  <r>
    <n v="489"/>
    <n v="166842319"/>
    <s v="Maniufacturing &amp; Supply Chain Consultant"/>
    <x v="4"/>
    <s v="Global OT/IT Quality Services"/>
    <x v="0"/>
    <x v="15"/>
    <x v="0"/>
    <x v="447"/>
    <d v="2023-01-20T00:00:00"/>
    <x v="7"/>
  </r>
  <r>
    <n v="490"/>
    <n v="166842329"/>
    <s v="Principal Investigator"/>
    <x v="9"/>
    <s v="GSK"/>
    <x v="7"/>
    <x v="15"/>
    <x v="0"/>
    <x v="447"/>
    <d v="2023-01-22T00:00:00"/>
    <x v="7"/>
  </r>
  <r>
    <n v="491"/>
    <n v="166841739"/>
    <s v="Account Executive"/>
    <x v="11"/>
    <s v="Catalent Cell Gene Therapy"/>
    <x v="0"/>
    <x v="15"/>
    <x v="0"/>
    <x v="448"/>
    <d v="2022-11-30T00:00:00"/>
    <x v="4"/>
  </r>
  <r>
    <n v="492"/>
    <n v="166551439"/>
    <s v="Director"/>
    <x v="2"/>
    <s v="CRISPR Therapeutics"/>
    <x v="4"/>
    <x v="15"/>
    <x v="0"/>
    <x v="449"/>
    <d v="2022-12-19T00:00:00"/>
    <x v="4"/>
  </r>
  <r>
    <n v="493"/>
    <n v="168100973"/>
    <s v="Senior Director Sales &amp; Business Development"/>
    <x v="7"/>
    <s v="Charles River Laboratories"/>
    <x v="0"/>
    <x v="15"/>
    <x v="0"/>
    <x v="450"/>
    <d v="2022-12-05T00:00:00"/>
    <x v="4"/>
  </r>
  <r>
    <n v="494"/>
    <n v="168100301"/>
    <s v="C-suite"/>
    <x v="1"/>
    <s v="Chimeric Therapeutics"/>
    <x v="4"/>
    <x v="15"/>
    <x v="0"/>
    <x v="451"/>
    <d v="2022-12-06T00:00:00"/>
    <x v="4"/>
  </r>
  <r>
    <n v="495"/>
    <n v="169597486"/>
    <s v="Senior Director Cell Therapy"/>
    <x v="7"/>
    <s v="Charles River Laboratories"/>
    <x v="0"/>
    <x v="15"/>
    <x v="0"/>
    <x v="452"/>
    <d v="2022-12-04T00:00:00"/>
    <x v="4"/>
  </r>
  <r>
    <n v="496"/>
    <n v="166553385"/>
    <s v="C-suite"/>
    <x v="1"/>
    <s v="Cabaletta Bio"/>
    <x v="4"/>
    <x v="15"/>
    <x v="0"/>
    <x v="453"/>
    <d v="2022-11-30T00:00:00"/>
    <x v="4"/>
  </r>
  <r>
    <n v="497"/>
    <n v="150635320"/>
    <s v="Head of Cellular Therapy"/>
    <x v="5"/>
    <s v="Center for Breakthrough Medicines"/>
    <x v="0"/>
    <x v="15"/>
    <x v="0"/>
    <x v="454"/>
    <d v="2022-11-30T00:00:00"/>
    <x v="4"/>
  </r>
  <r>
    <n v="498"/>
    <n v="156396191"/>
    <s v="C-suite"/>
    <x v="1"/>
    <s v="Muscular Dystrophy Association"/>
    <x v="2"/>
    <x v="10"/>
    <x v="3"/>
    <x v="455"/>
    <d v="2022-12-02T00:00:00"/>
    <x v="7"/>
  </r>
  <r>
    <n v="499"/>
    <n v="171790240"/>
    <s v="Co-founder"/>
    <x v="4"/>
    <s v="Center for Breakthrough Medicines"/>
    <x v="0"/>
    <x v="15"/>
    <x v="0"/>
    <x v="456"/>
    <d v="2022-11-30T00:00:00"/>
    <x v="4"/>
  </r>
  <r>
    <n v="500"/>
    <n v="166553379"/>
    <s v="Manager"/>
    <x v="0"/>
    <s v="Bio-Techne"/>
    <x v="0"/>
    <x v="15"/>
    <x v="0"/>
    <x v="457"/>
    <d v="2022-11-30T00:00:00"/>
    <x v="5"/>
  </r>
  <r>
    <n v="501"/>
    <n v="166551777"/>
    <m/>
    <x v="6"/>
    <s v="Thermo Fisher Scientific"/>
    <x v="0"/>
    <x v="17"/>
    <x v="1"/>
    <x v="458"/>
    <d v="2023-03-03T00:00:00"/>
    <x v="6"/>
  </r>
  <r>
    <n v="502"/>
    <n v="168099668"/>
    <s v="Manager"/>
    <x v="0"/>
    <m/>
    <x v="0"/>
    <x v="17"/>
    <x v="1"/>
    <x v="458"/>
    <d v="2023-03-04T00:00:00"/>
    <x v="6"/>
  </r>
  <r>
    <n v="503"/>
    <n v="157994264"/>
    <s v="C-suite"/>
    <x v="1"/>
    <s v="Cellsbin "/>
    <x v="2"/>
    <x v="15"/>
    <x v="0"/>
    <x v="459"/>
    <d v="2022-11-30T00:00:00"/>
    <x v="4"/>
  </r>
  <r>
    <n v="504"/>
    <n v="166552671"/>
    <s v="Manager"/>
    <x v="0"/>
    <s v="Azenta Life Sciences"/>
    <x v="0"/>
    <x v="15"/>
    <x v="0"/>
    <x v="460"/>
    <d v="2022-11-30T00:00:00"/>
    <x v="5"/>
  </r>
  <r>
    <n v="505"/>
    <n v="166553411"/>
    <s v="Manager"/>
    <x v="0"/>
    <s v="Azenta Life Sciences"/>
    <x v="0"/>
    <x v="15"/>
    <x v="0"/>
    <x v="461"/>
    <d v="2022-11-30T00:00:00"/>
    <x v="5"/>
  </r>
  <r>
    <n v="506"/>
    <n v="166551319"/>
    <s v="Senior VP CMC"/>
    <x v="7"/>
    <s v="Wugen"/>
    <x v="0"/>
    <x v="9"/>
    <x v="0"/>
    <x v="462"/>
    <d v="2023-04-26T00:00:00"/>
    <x v="6"/>
  </r>
  <r>
    <n v="507"/>
    <n v="166551705"/>
    <s v="Manager"/>
    <x v="0"/>
    <s v="TCR2 Therapeutics"/>
    <x v="4"/>
    <x v="17"/>
    <x v="1"/>
    <x v="463"/>
    <d v="2023-01-15T00:00:00"/>
    <x v="7"/>
  </r>
  <r>
    <n v="508"/>
    <n v="166551669"/>
    <s v="Director"/>
    <x v="2"/>
    <s v="Talaris Therapeutics"/>
    <x v="4"/>
    <x v="17"/>
    <x v="1"/>
    <x v="464"/>
    <d v="2023-01-14T00:00:00"/>
    <x v="7"/>
  </r>
  <r>
    <n v="509"/>
    <n v="166551703"/>
    <s v="Senior Director Technical Operations "/>
    <x v="7"/>
    <m/>
    <x v="4"/>
    <x v="17"/>
    <x v="1"/>
    <x v="465"/>
    <d v="2023-01-13T00:00:00"/>
    <x v="7"/>
  </r>
  <r>
    <n v="510"/>
    <n v="166551779"/>
    <s v="Manager"/>
    <x v="0"/>
    <s v="Thermo Fisher Scientific"/>
    <x v="0"/>
    <x v="17"/>
    <x v="1"/>
    <x v="466"/>
    <d v="2023-02-24T00:00:00"/>
    <x v="6"/>
  </r>
  <r>
    <n v="511"/>
    <n v="166552665"/>
    <s v="professor"/>
    <x v="4"/>
    <s v="Bohlander Stem Cell Research Laboratory"/>
    <x v="2"/>
    <x v="15"/>
    <x v="0"/>
    <x v="467"/>
    <d v="2022-11-30T00:00:00"/>
    <x v="5"/>
  </r>
  <r>
    <n v="512"/>
    <n v="166551449"/>
    <s v="C-suite"/>
    <x v="1"/>
    <s v="Cryoport Systems"/>
    <x v="0"/>
    <x v="15"/>
    <x v="0"/>
    <x v="468"/>
    <d v="2022-12-20T00:00:00"/>
    <x v="4"/>
  </r>
  <r>
    <n v="513"/>
    <n v="166551435"/>
    <s v="C-suite"/>
    <x v="1"/>
    <s v="CSafe"/>
    <x v="0"/>
    <x v="15"/>
    <x v="0"/>
    <x v="469"/>
    <d v="2022-12-21T00:00:00"/>
    <x v="4"/>
  </r>
  <r>
    <n v="514"/>
    <n v="166553361"/>
    <s v="Senior VP Bioinnovation"/>
    <x v="7"/>
    <s v="Cambridge Consultants"/>
    <x v="0"/>
    <x v="15"/>
    <x v="0"/>
    <x v="470"/>
    <d v="2022-11-30T00:00:00"/>
    <x v="4"/>
  </r>
  <r>
    <n v="515"/>
    <n v="166552587"/>
    <s v="VP Business Development"/>
    <x v="3"/>
    <s v="Cambridge Consultants"/>
    <x v="0"/>
    <x v="15"/>
    <x v="0"/>
    <x v="471"/>
    <d v="2022-11-30T00:00:00"/>
    <x v="4"/>
  </r>
  <r>
    <n v="516"/>
    <n v="166552679"/>
    <s v="Research Analyst"/>
    <x v="4"/>
    <s v="Cancer Research Institute"/>
    <x v="3"/>
    <x v="15"/>
    <x v="0"/>
    <x v="472"/>
    <d v="2022-11-30T00:00:00"/>
    <x v="4"/>
  </r>
  <r>
    <n v="517"/>
    <n v="169596484"/>
    <s v="Commercial Leader"/>
    <x v="4"/>
    <s v="Terumo Blood and Cell Technologies"/>
    <x v="0"/>
    <x v="17"/>
    <x v="1"/>
    <x v="473"/>
    <d v="2023-01-30T00:00:00"/>
    <x v="8"/>
  </r>
  <r>
    <n v="518"/>
    <n v="166552573"/>
    <s v="Manager"/>
    <x v="0"/>
    <s v="Bristol Myers Squibb"/>
    <x v="7"/>
    <x v="15"/>
    <x v="0"/>
    <x v="474"/>
    <d v="2022-11-30T00:00:00"/>
    <x v="5"/>
  </r>
  <r>
    <n v="519"/>
    <n v="166553409"/>
    <s v="Sales"/>
    <x v="4"/>
    <s v="Azenta Life Sciences"/>
    <x v="0"/>
    <x v="15"/>
    <x v="0"/>
    <x v="475"/>
    <d v="2022-11-30T00:00:00"/>
    <x v="5"/>
  </r>
  <r>
    <n v="520"/>
    <n v="166557681"/>
    <s v="Senior Director Automated Storage Sales"/>
    <x v="7"/>
    <s v="Azenta Life Sciences"/>
    <x v="0"/>
    <x v="15"/>
    <x v="0"/>
    <x v="476"/>
    <d v="2022-11-30T00:00:00"/>
    <x v="5"/>
  </r>
  <r>
    <n v="521"/>
    <n v="166553369"/>
    <s v="Tradeshow &amp; Event Specialist"/>
    <x v="4"/>
    <s v="Azenta Life Sciences"/>
    <x v="0"/>
    <x v="15"/>
    <x v="0"/>
    <x v="477"/>
    <d v="2022-11-30T00:00:00"/>
    <x v="5"/>
  </r>
  <r>
    <n v="522"/>
    <n v="166553397"/>
    <s v="Manager"/>
    <x v="0"/>
    <s v="Azenta Life Sciences"/>
    <x v="0"/>
    <x v="15"/>
    <x v="0"/>
    <x v="478"/>
    <d v="2022-11-30T00:00:00"/>
    <x v="5"/>
  </r>
  <r>
    <n v="523"/>
    <n v="166842777"/>
    <s v="Manager"/>
    <x v="0"/>
    <s v="Argon Medical Devices "/>
    <x v="0"/>
    <x v="15"/>
    <x v="0"/>
    <x v="479"/>
    <d v="2022-11-30T00:00:00"/>
    <x v="5"/>
  </r>
  <r>
    <n v="524"/>
    <n v="166842793"/>
    <s v="C-suite"/>
    <x v="1"/>
    <s v="ARMI | BioFabUSA"/>
    <x v="5"/>
    <x v="15"/>
    <x v="0"/>
    <x v="480"/>
    <d v="2022-11-30T00:00:00"/>
    <x v="5"/>
  </r>
  <r>
    <n v="525"/>
    <n v="166842773"/>
    <s v="Manager"/>
    <x v="0"/>
    <s v="ArcticZymes"/>
    <x v="0"/>
    <x v="15"/>
    <x v="0"/>
    <x v="481"/>
    <d v="2022-11-30T00:00:00"/>
    <x v="3"/>
  </r>
  <r>
    <n v="526"/>
    <n v="166842771"/>
    <s v="VP Sales - Custom Product Solutions"/>
    <x v="3"/>
    <s v="Argon Medical Devices "/>
    <x v="0"/>
    <x v="15"/>
    <x v="0"/>
    <x v="482"/>
    <d v="2022-11-30T00:00:00"/>
    <x v="5"/>
  </r>
  <r>
    <n v="527"/>
    <n v="166842781"/>
    <s v="Manager"/>
    <x v="0"/>
    <s v="ArcticZymes"/>
    <x v="0"/>
    <x v="15"/>
    <x v="0"/>
    <x v="483"/>
    <d v="2022-11-30T00:00:00"/>
    <x v="3"/>
  </r>
  <r>
    <n v="528"/>
    <n v="171634564"/>
    <s v="C-suite"/>
    <x v="1"/>
    <s v="ARMI | BioFabUSA"/>
    <x v="5"/>
    <x v="15"/>
    <x v="0"/>
    <x v="484"/>
    <d v="2022-11-30T00:00:00"/>
    <x v="5"/>
  </r>
  <r>
    <n v="529"/>
    <n v="166842791"/>
    <s v="C-suite"/>
    <x v="1"/>
    <s v="ARMI | BioFabUSA"/>
    <x v="5"/>
    <x v="15"/>
    <x v="0"/>
    <x v="485"/>
    <d v="2022-11-30T00:00:00"/>
    <x v="5"/>
  </r>
  <r>
    <n v="530"/>
    <n v="166842819"/>
    <s v="Manager"/>
    <x v="0"/>
    <s v="ARMI | BioFabUSA"/>
    <x v="5"/>
    <x v="15"/>
    <x v="0"/>
    <x v="486"/>
    <d v="2022-11-30T00:00:00"/>
    <x v="5"/>
  </r>
  <r>
    <n v="531"/>
    <n v="143026228"/>
    <s v="VP Business Development &amp; Practice Expert"/>
    <x v="3"/>
    <s v="Dark Horse Consulting"/>
    <x v="0"/>
    <x v="15"/>
    <x v="0"/>
    <x v="487"/>
    <d v="2023-01-13T00:00:00"/>
    <x v="4"/>
  </r>
  <r>
    <n v="532"/>
    <n v="168100985"/>
    <s v="Specialist Leader"/>
    <x v="4"/>
    <s v="Deloitte"/>
    <x v="0"/>
    <x v="15"/>
    <x v="0"/>
    <x v="488"/>
    <d v="2023-01-15T00:00:00"/>
    <x v="4"/>
  </r>
  <r>
    <n v="533"/>
    <n v="157993280"/>
    <s v="Practice Expert"/>
    <x v="4"/>
    <s v="Dark Horse Consulting"/>
    <x v="0"/>
    <x v="15"/>
    <x v="0"/>
    <x v="489"/>
    <d v="2023-01-14T00:00:00"/>
    <x v="4"/>
  </r>
  <r>
    <n v="534"/>
    <n v="166841417"/>
    <s v="Director"/>
    <x v="2"/>
    <s v="AmplifyBio"/>
    <x v="2"/>
    <x v="15"/>
    <x v="0"/>
    <x v="490"/>
    <d v="2022-11-30T00:00:00"/>
    <x v="3"/>
  </r>
  <r>
    <n v="535"/>
    <n v="166841415"/>
    <s v="Director"/>
    <x v="2"/>
    <s v="AmplifyBio"/>
    <x v="2"/>
    <x v="15"/>
    <x v="0"/>
    <x v="491"/>
    <d v="2022-11-30T00:00:00"/>
    <x v="3"/>
  </r>
  <r>
    <n v="536"/>
    <n v="166552631"/>
    <s v="C-suite"/>
    <x v="1"/>
    <s v="Caribou Biosciences"/>
    <x v="4"/>
    <x v="15"/>
    <x v="0"/>
    <x v="492"/>
    <d v="2022-11-30T00:00:00"/>
    <x v="4"/>
  </r>
  <r>
    <n v="537"/>
    <n v="166553413"/>
    <s v="Manager"/>
    <x v="0"/>
    <s v="Azenta Life Sciences"/>
    <x v="0"/>
    <x v="15"/>
    <x v="0"/>
    <x v="493"/>
    <d v="2022-11-30T00:00:00"/>
    <x v="5"/>
  </r>
  <r>
    <n v="538"/>
    <n v="166475678"/>
    <s v="VP Technical Operations"/>
    <x v="3"/>
    <s v="Talaris Therapeutics"/>
    <x v="4"/>
    <x v="17"/>
    <x v="1"/>
    <x v="494"/>
    <d v="2023-01-07T00:00:00"/>
    <x v="7"/>
  </r>
  <r>
    <n v="539"/>
    <n v="161590402"/>
    <s v="VP Quality"/>
    <x v="3"/>
    <s v="Talaris Therapeutics"/>
    <x v="4"/>
    <x v="17"/>
    <x v="1"/>
    <x v="495"/>
    <d v="2023-01-08T00:00:00"/>
    <x v="7"/>
  </r>
  <r>
    <n v="540"/>
    <n v="166551675"/>
    <s v="Head of Research "/>
    <x v="5"/>
    <s v="Talaris Therapeutics"/>
    <x v="4"/>
    <x v="17"/>
    <x v="1"/>
    <x v="496"/>
    <d v="2023-01-09T00:00:00"/>
    <x v="7"/>
  </r>
  <r>
    <n v="541"/>
    <n v="151754405"/>
    <s v="Senior Director"/>
    <x v="7"/>
    <s v="Takeda Pharmaceuticals"/>
    <x v="7"/>
    <x v="17"/>
    <x v="1"/>
    <x v="497"/>
    <d v="2023-01-06T00:00:00"/>
    <x v="7"/>
  </r>
  <r>
    <n v="542"/>
    <n v="166551689"/>
    <s v="Director"/>
    <x v="2"/>
    <s v="Talaris Therapeutics"/>
    <x v="4"/>
    <x v="17"/>
    <x v="1"/>
    <x v="498"/>
    <d v="2023-01-12T00:00:00"/>
    <x v="7"/>
  </r>
  <r>
    <n v="543"/>
    <n v="166551707"/>
    <s v="VP Process and Analytical Development"/>
    <x v="3"/>
    <s v="Talaris Therapeutics"/>
    <x v="4"/>
    <x v="17"/>
    <x v="1"/>
    <x v="499"/>
    <d v="2023-01-11T00:00:00"/>
    <x v="7"/>
  </r>
  <r>
    <n v="544"/>
    <n v="166552661"/>
    <s v="Director"/>
    <x v="2"/>
    <s v="Carisma Therapeutics"/>
    <x v="4"/>
    <x v="15"/>
    <x v="0"/>
    <x v="500"/>
    <d v="2022-11-30T00:00:00"/>
    <x v="4"/>
  </r>
  <r>
    <n v="545"/>
    <n v="148458346"/>
    <s v="Account Executive"/>
    <x v="11"/>
    <s v="Catalent Cell Gene Therapy"/>
    <x v="0"/>
    <x v="15"/>
    <x v="0"/>
    <x v="501"/>
    <d v="2022-11-30T00:00:00"/>
    <x v="4"/>
  </r>
  <r>
    <n v="546"/>
    <n v="166552677"/>
    <s v="Manager"/>
    <x v="0"/>
    <s v="BMS"/>
    <x v="7"/>
    <x v="15"/>
    <x v="0"/>
    <x v="502"/>
    <d v="2022-11-30T00:00:00"/>
    <x v="5"/>
  </r>
  <r>
    <n v="547"/>
    <n v="166553405"/>
    <s v="Director"/>
    <x v="2"/>
    <s v="BMS"/>
    <x v="7"/>
    <x v="15"/>
    <x v="0"/>
    <x v="503"/>
    <d v="2022-11-30T00:00:00"/>
    <x v="5"/>
  </r>
  <r>
    <n v="548"/>
    <n v="169596415"/>
    <s v="C-suite"/>
    <x v="1"/>
    <s v="Lykan Bioscience"/>
    <x v="0"/>
    <x v="1"/>
    <x v="0"/>
    <x v="504"/>
    <d v="2022-11-30T00:00:00"/>
    <x v="7"/>
  </r>
  <r>
    <n v="549"/>
    <n v="166843465"/>
    <s v="C-suite"/>
    <x v="1"/>
    <s v="Lupagen"/>
    <x v="4"/>
    <x v="1"/>
    <x v="0"/>
    <x v="505"/>
    <d v="2022-11-30T00:00:00"/>
    <x v="7"/>
  </r>
  <r>
    <n v="550"/>
    <n v="169596418"/>
    <s v="Director"/>
    <x v="2"/>
    <s v="Lykan Bioscience"/>
    <x v="0"/>
    <x v="1"/>
    <x v="0"/>
    <x v="506"/>
    <d v="2022-11-30T00:00:00"/>
    <x v="7"/>
  </r>
  <r>
    <n v="551"/>
    <n v="169596412"/>
    <s v="Director"/>
    <x v="2"/>
    <s v="Lykan Bioscience"/>
    <x v="0"/>
    <x v="1"/>
    <x v="0"/>
    <x v="507"/>
    <d v="2022-11-30T00:00:00"/>
    <x v="7"/>
  </r>
  <r>
    <n v="552"/>
    <n v="168099455"/>
    <s v="VP Business Development &amp; Marketing"/>
    <x v="3"/>
    <s v="Lykan Bioscience"/>
    <x v="0"/>
    <x v="1"/>
    <x v="0"/>
    <x v="508"/>
    <d v="2022-11-30T00:00:00"/>
    <x v="7"/>
  </r>
  <r>
    <n v="553"/>
    <n v="166842317"/>
    <s v="C-suite"/>
    <x v="1"/>
    <s v="InspiraTherapeutics"/>
    <x v="2"/>
    <x v="15"/>
    <x v="0"/>
    <x v="509"/>
    <d v="2023-01-30T00:00:00"/>
    <x v="7"/>
  </r>
  <r>
    <n v="554"/>
    <n v="168098768"/>
    <s v="Senior Solution Engineer"/>
    <x v="7"/>
    <s v="Apprentice"/>
    <x v="0"/>
    <x v="15"/>
    <x v="0"/>
    <x v="510"/>
    <d v="2022-11-30T00:00:00"/>
    <x v="3"/>
  </r>
  <r>
    <n v="555"/>
    <n v="166551735"/>
    <s v="Manager"/>
    <x v="0"/>
    <s v="Thermo Fisher Scientific"/>
    <x v="0"/>
    <x v="17"/>
    <x v="1"/>
    <x v="511"/>
    <d v="2023-02-12T00:00:00"/>
    <x v="8"/>
  </r>
  <r>
    <n v="556"/>
    <n v="166551323"/>
    <s v="Manager"/>
    <x v="0"/>
    <s v="Wunderlich-Malec Engineering"/>
    <x v="2"/>
    <x v="9"/>
    <x v="0"/>
    <x v="512"/>
    <d v="2023-04-27T00:00:00"/>
    <x v="6"/>
  </r>
  <r>
    <n v="557"/>
    <n v="169597132"/>
    <s v="Manager"/>
    <x v="0"/>
    <s v="Polyplus"/>
    <x v="0"/>
    <x v="17"/>
    <x v="1"/>
    <x v="513"/>
    <d v="2022-12-30T00:00:00"/>
    <x v="7"/>
  </r>
  <r>
    <n v="558"/>
    <n v="169597387"/>
    <s v="Director"/>
    <x v="2"/>
    <s v="PharmaLex US"/>
    <x v="0"/>
    <x v="17"/>
    <x v="1"/>
    <x v="514"/>
    <d v="2022-12-29T00:00:00"/>
    <x v="7"/>
  </r>
  <r>
    <n v="559"/>
    <n v="166551671"/>
    <s v="Logistics Coordinator "/>
    <x v="4"/>
    <s v="TCR2 Therapeutics "/>
    <x v="4"/>
    <x v="17"/>
    <x v="1"/>
    <x v="515"/>
    <d v="2023-01-16T00:00:00"/>
    <x v="7"/>
  </r>
  <r>
    <n v="560"/>
    <n v="169596436"/>
    <s v="C-suite"/>
    <x v="1"/>
    <s v="Freeline Therapeutics"/>
    <x v="4"/>
    <x v="15"/>
    <x v="0"/>
    <x v="516"/>
    <d v="2023-02-21T00:00:00"/>
    <x v="4"/>
  </r>
  <r>
    <n v="561"/>
    <n v="166843463"/>
    <s v="Field Application Scientist "/>
    <x v="4"/>
    <s v="Lonza Walkersville"/>
    <x v="0"/>
    <x v="1"/>
    <x v="0"/>
    <x v="517"/>
    <d v="2022-11-30T00:00:00"/>
    <x v="7"/>
  </r>
  <r>
    <n v="562"/>
    <n v="169596433"/>
    <s v="Director"/>
    <x v="2"/>
    <s v="FreMon Scientific"/>
    <x v="2"/>
    <x v="15"/>
    <x v="0"/>
    <x v="518"/>
    <d v="2023-02-22T00:00:00"/>
    <x v="4"/>
  </r>
  <r>
    <n v="563"/>
    <n v="166843457"/>
    <s v="C-suite"/>
    <x v="1"/>
    <s v="Luminary Therapeutics"/>
    <x v="4"/>
    <x v="1"/>
    <x v="0"/>
    <x v="519"/>
    <d v="2022-11-30T00:00:00"/>
    <x v="7"/>
  </r>
  <r>
    <n v="564"/>
    <n v="168100865"/>
    <s v="Director"/>
    <x v="2"/>
    <s v="Thermo Fisher Scientific"/>
    <x v="0"/>
    <x v="17"/>
    <x v="1"/>
    <x v="520"/>
    <d v="2023-02-28T00:00:00"/>
    <x v="6"/>
  </r>
  <r>
    <n v="565"/>
    <n v="166552673"/>
    <s v="C-suite"/>
    <x v="1"/>
    <s v="Bluesphere Bio"/>
    <x v="4"/>
    <x v="15"/>
    <x v="0"/>
    <x v="521"/>
    <d v="2022-11-30T00:00:00"/>
    <x v="5"/>
  </r>
  <r>
    <n v="566"/>
    <n v="166842823"/>
    <s v="Director"/>
    <x v="2"/>
    <s v="Aseptic Technologies"/>
    <x v="0"/>
    <x v="15"/>
    <x v="0"/>
    <x v="522"/>
    <d v="2022-11-30T00:00:00"/>
    <x v="5"/>
  </r>
  <r>
    <n v="567"/>
    <n v="166549167"/>
    <s v="VP of Operations"/>
    <x v="3"/>
    <s v="Carter BLoodCare"/>
    <x v="4"/>
    <x v="15"/>
    <x v="0"/>
    <x v="523"/>
    <d v="2022-11-30T00:00:00"/>
    <x v="4"/>
  </r>
  <r>
    <n v="568"/>
    <n v="168100847"/>
    <s v="C-suite"/>
    <x v="1"/>
    <s v="Tessera Therapeutics"/>
    <x v="4"/>
    <x v="17"/>
    <x v="1"/>
    <x v="524"/>
    <d v="2023-01-31T00:00:00"/>
    <x v="8"/>
  </r>
  <r>
    <n v="569"/>
    <n v="166552601"/>
    <s v="Director"/>
    <x v="2"/>
    <s v="Bristol Myers Squibb"/>
    <x v="7"/>
    <x v="15"/>
    <x v="0"/>
    <x v="525"/>
    <d v="2022-11-30T00:00:00"/>
    <x v="5"/>
  </r>
  <r>
    <n v="570"/>
    <n v="166557663"/>
    <s v="Senior Director Strategic Sourcing, Cell Therapy"/>
    <x v="7"/>
    <s v="Bristol Myers Squibb"/>
    <x v="7"/>
    <x v="15"/>
    <x v="0"/>
    <x v="526"/>
    <d v="2022-11-30T00:00:00"/>
    <x v="5"/>
  </r>
  <r>
    <n v="571"/>
    <n v="166557677"/>
    <s v="Senior Principal Scientist"/>
    <x v="7"/>
    <s v="Bristol Myers Squibb"/>
    <x v="7"/>
    <x v="15"/>
    <x v="0"/>
    <x v="527"/>
    <d v="2022-11-30T00:00:00"/>
    <x v="5"/>
  </r>
  <r>
    <n v="572"/>
    <n v="166552633"/>
    <s v="Manager"/>
    <x v="0"/>
    <s v="Bristol Myers Squibb"/>
    <x v="7"/>
    <x v="15"/>
    <x v="0"/>
    <x v="528"/>
    <d v="2022-11-30T00:00:00"/>
    <x v="5"/>
  </r>
  <r>
    <n v="573"/>
    <n v="164928979"/>
    <s v="Director"/>
    <x v="2"/>
    <s v="CRISPR Therapeutics"/>
    <x v="4"/>
    <x v="15"/>
    <x v="0"/>
    <x v="529"/>
    <d v="2022-12-17T00:00:00"/>
    <x v="4"/>
  </r>
  <r>
    <n v="574"/>
    <n v="166552685"/>
    <s v="Associate"/>
    <x v="8"/>
    <s v="BioProcessing Journal"/>
    <x v="8"/>
    <x v="15"/>
    <x v="0"/>
    <x v="530"/>
    <d v="2022-11-30T00:00:00"/>
    <x v="5"/>
  </r>
  <r>
    <n v="575"/>
    <n v="157994266"/>
    <s v="Professor"/>
    <x v="4"/>
    <s v="Center for Cellular Immunotherapies"/>
    <x v="2"/>
    <x v="15"/>
    <x v="0"/>
    <x v="531"/>
    <d v="2022-11-30T00:00:00"/>
    <x v="4"/>
  </r>
  <r>
    <n v="576"/>
    <n v="169884943"/>
    <s v="Senior VP Global Strategic Partnerships"/>
    <x v="7"/>
    <s v="Center for Breakthrough Medicines"/>
    <x v="0"/>
    <x v="15"/>
    <x v="0"/>
    <x v="532"/>
    <d v="2022-11-30T00:00:00"/>
    <x v="4"/>
  </r>
  <r>
    <n v="577"/>
    <n v="171871588"/>
    <s v="FDI &amp; Trade Associate"/>
    <x v="4"/>
    <s v="Chamber of Commerce for Greater Philadelphia"/>
    <x v="9"/>
    <x v="15"/>
    <x v="0"/>
    <x v="533"/>
    <d v="2022-11-30T00:00:00"/>
    <x v="4"/>
  </r>
  <r>
    <n v="578"/>
    <n v="171634249"/>
    <s v="C-suite"/>
    <x v="1"/>
    <s v="The Leukemia &amp; Lymphoma society"/>
    <x v="11"/>
    <x v="17"/>
    <x v="1"/>
    <x v="534"/>
    <d v="2023-02-03T00:00:00"/>
    <x v="8"/>
  </r>
  <r>
    <n v="579"/>
    <n v="166551773"/>
    <s v="VP Research"/>
    <x v="3"/>
    <s v="The National Marrow Donor Program/Be The Match"/>
    <x v="0"/>
    <x v="17"/>
    <x v="1"/>
    <x v="535"/>
    <d v="2023-02-06T00:00:00"/>
    <x v="8"/>
  </r>
  <r>
    <n v="580"/>
    <n v="166551725"/>
    <s v="Manager"/>
    <x v="0"/>
    <s v="Thermo Fisher Scientific"/>
    <x v="0"/>
    <x v="17"/>
    <x v="1"/>
    <x v="536"/>
    <d v="2023-02-09T00:00:00"/>
    <x v="8"/>
  </r>
  <r>
    <n v="581"/>
    <n v="168100856"/>
    <s v="Manager"/>
    <x v="0"/>
    <s v="Thermo Fisher Scientific"/>
    <x v="0"/>
    <x v="17"/>
    <x v="1"/>
    <x v="537"/>
    <d v="2023-02-10T00:00:00"/>
    <x v="8"/>
  </r>
  <r>
    <n v="582"/>
    <n v="165943933"/>
    <m/>
    <x v="6"/>
    <s v="Center for Breakthrough Medicines"/>
    <x v="0"/>
    <x v="15"/>
    <x v="0"/>
    <x v="538"/>
    <d v="2022-11-30T00:00:00"/>
    <x v="4"/>
  </r>
  <r>
    <n v="583"/>
    <n v="166551781"/>
    <s v="Manager"/>
    <x v="0"/>
    <s v="The National Marrow Donor Program/Be The Match"/>
    <x v="0"/>
    <x v="17"/>
    <x v="1"/>
    <x v="539"/>
    <d v="2023-02-04T00:00:00"/>
    <x v="8"/>
  </r>
  <r>
    <n v="584"/>
    <n v="166551757"/>
    <s v="Senior Director Clinical Trials"/>
    <x v="7"/>
    <s v="The National Marrow Donor Program/Be The Match"/>
    <x v="0"/>
    <x v="17"/>
    <x v="1"/>
    <x v="540"/>
    <d v="2023-02-05T00:00:00"/>
    <x v="8"/>
  </r>
  <r>
    <n v="585"/>
    <n v="166552603"/>
    <s v="C-suite"/>
    <x v="1"/>
    <s v="Avobis Bio"/>
    <x v="4"/>
    <x v="15"/>
    <x v="0"/>
    <x v="541"/>
    <d v="2022-11-30T00:00:00"/>
    <x v="5"/>
  </r>
  <r>
    <n v="586"/>
    <n v="166552579"/>
    <s v="Director"/>
    <x v="2"/>
    <s v="AVROBIO"/>
    <x v="4"/>
    <x v="15"/>
    <x v="0"/>
    <x v="542"/>
    <d v="2022-11-30T00:00:00"/>
    <x v="5"/>
  </r>
  <r>
    <n v="587"/>
    <n v="166552569"/>
    <s v="Director"/>
    <x v="2"/>
    <s v="Avobis Bio "/>
    <x v="4"/>
    <x v="15"/>
    <x v="0"/>
    <x v="543"/>
    <d v="2022-11-30T00:00:00"/>
    <x v="5"/>
  </r>
  <r>
    <n v="588"/>
    <n v="165389242"/>
    <m/>
    <x v="6"/>
    <s v="Avego Management "/>
    <x v="1"/>
    <x v="15"/>
    <x v="0"/>
    <x v="544"/>
    <d v="2022-11-30T00:00:00"/>
    <x v="5"/>
  </r>
  <r>
    <n v="589"/>
    <n v="166552629"/>
    <s v="C-suite"/>
    <x v="1"/>
    <s v="AVROBIO"/>
    <x v="4"/>
    <x v="15"/>
    <x v="0"/>
    <x v="545"/>
    <d v="2022-11-30T00:00:00"/>
    <x v="5"/>
  </r>
  <r>
    <n v="590"/>
    <n v="166552605"/>
    <s v="VP Human Resources"/>
    <x v="3"/>
    <s v="AVROBIO"/>
    <x v="4"/>
    <x v="15"/>
    <x v="0"/>
    <x v="546"/>
    <d v="2022-11-30T00:00:00"/>
    <x v="5"/>
  </r>
  <r>
    <n v="591"/>
    <n v="166551763"/>
    <s v="Director"/>
    <x v="2"/>
    <s v="Thermo Fisher Scientific"/>
    <x v="0"/>
    <x v="17"/>
    <x v="1"/>
    <x v="547"/>
    <d v="2023-02-07T00:00:00"/>
    <x v="8"/>
  </r>
  <r>
    <n v="592"/>
    <n v="166843337"/>
    <s v="Professor"/>
    <x v="4"/>
    <s v="Florida International University, Herbert Wertheim College of Medicine"/>
    <x v="3"/>
    <x v="15"/>
    <x v="0"/>
    <x v="548"/>
    <d v="2023-02-09T00:00:00"/>
    <x v="4"/>
  </r>
  <r>
    <n v="593"/>
    <n v="166551327"/>
    <s v="Regional Account Executive"/>
    <x v="11"/>
    <s v="WellSky"/>
    <x v="0"/>
    <x v="9"/>
    <x v="0"/>
    <x v="549"/>
    <d v="2023-04-19T00:00:00"/>
    <x v="6"/>
  </r>
  <r>
    <n v="594"/>
    <n v="168101003"/>
    <s v="Director"/>
    <x v="2"/>
    <s v="Charles River Laboratories"/>
    <x v="0"/>
    <x v="15"/>
    <x v="0"/>
    <x v="550"/>
    <d v="2022-12-03T00:00:00"/>
    <x v="4"/>
  </r>
  <r>
    <n v="595"/>
    <n v="166552623"/>
    <s v="Senior Director Sales "/>
    <x v="7"/>
    <s v="Charles River Laboratories"/>
    <x v="0"/>
    <x v="15"/>
    <x v="0"/>
    <x v="551"/>
    <d v="2022-11-30T00:00:00"/>
    <x v="4"/>
  </r>
  <r>
    <n v="596"/>
    <n v="166552663"/>
    <s v="Manager"/>
    <x v="0"/>
    <s v="Charles River Laboratories"/>
    <x v="0"/>
    <x v="15"/>
    <x v="0"/>
    <x v="552"/>
    <d v="2022-12-02T00:00:00"/>
    <x v="4"/>
  </r>
  <r>
    <n v="597"/>
    <n v="166843389"/>
    <s v="Director"/>
    <x v="2"/>
    <s v="Kite Pharma "/>
    <x v="7"/>
    <x v="10"/>
    <x v="3"/>
    <x v="553"/>
    <d v="2022-11-30T00:00:00"/>
    <x v="7"/>
  </r>
  <r>
    <n v="598"/>
    <n v="166841751"/>
    <s v="Director"/>
    <x v="2"/>
    <s v="Vertex Pharmaceutical "/>
    <x v="4"/>
    <x v="17"/>
    <x v="1"/>
    <x v="554"/>
    <d v="2023-03-19T00:00:00"/>
    <x v="6"/>
  </r>
  <r>
    <n v="599"/>
    <n v="168099971"/>
    <s v="Senior Biotech Specialist"/>
    <x v="7"/>
    <s v="Pall Corporation"/>
    <x v="0"/>
    <x v="17"/>
    <x v="1"/>
    <x v="555"/>
    <d v="2022-12-19T00:00:00"/>
    <x v="7"/>
  </r>
  <r>
    <n v="600"/>
    <n v="166551739"/>
    <s v="Manager"/>
    <x v="0"/>
    <s v="Thermo Fisher Scientific"/>
    <x v="0"/>
    <x v="17"/>
    <x v="1"/>
    <x v="556"/>
    <d v="2023-02-21T00:00:00"/>
    <x v="8"/>
  </r>
  <r>
    <n v="601"/>
    <n v="166552683"/>
    <s v="VP of Comercialization"/>
    <x v="3"/>
    <s v="BioCentriq"/>
    <x v="0"/>
    <x v="15"/>
    <x v="0"/>
    <x v="557"/>
    <d v="2022-11-30T00:00:00"/>
    <x v="5"/>
  </r>
  <r>
    <n v="602"/>
    <n v="169596424"/>
    <s v="Senior. Assoc."/>
    <x v="7"/>
    <s v="Forge Biologics"/>
    <x v="4"/>
    <x v="15"/>
    <x v="0"/>
    <x v="558"/>
    <d v="2023-02-17T00:00:00"/>
    <x v="4"/>
  </r>
  <r>
    <n v="603"/>
    <n v="166553431"/>
    <s v="C-suite"/>
    <x v="1"/>
    <s v="Excellos"/>
    <x v="2"/>
    <x v="15"/>
    <x v="0"/>
    <x v="559"/>
    <d v="2023-02-08T00:00:00"/>
    <x v="4"/>
  </r>
  <r>
    <n v="604"/>
    <n v="166553387"/>
    <m/>
    <x v="6"/>
    <s v="Charles River "/>
    <x v="0"/>
    <x v="15"/>
    <x v="0"/>
    <x v="560"/>
    <d v="2022-11-28T00:00:00"/>
    <x v="4"/>
  </r>
  <r>
    <n v="605"/>
    <n v="166551711"/>
    <s v="Field Application Scientist"/>
    <x v="4"/>
    <s v="Terumo Blood and Cell Technologies"/>
    <x v="0"/>
    <x v="17"/>
    <x v="1"/>
    <x v="561"/>
    <d v="2023-01-17T00:00:00"/>
    <x v="7"/>
  </r>
  <r>
    <n v="606"/>
    <n v="166552563"/>
    <s v="Founder"/>
    <x v="10"/>
    <s v="BioSolution Designs"/>
    <x v="0"/>
    <x v="15"/>
    <x v="0"/>
    <x v="562"/>
    <d v="2022-11-30T00:00:00"/>
    <x v="5"/>
  </r>
  <r>
    <n v="607"/>
    <n v="166552561"/>
    <s v="Manager"/>
    <x v="0"/>
    <s v="Bio-Techne"/>
    <x v="0"/>
    <x v="15"/>
    <x v="0"/>
    <x v="563"/>
    <d v="2022-11-30T00:00:00"/>
    <x v="5"/>
  </r>
  <r>
    <n v="608"/>
    <n v="168101018"/>
    <s v="Senior Director"/>
    <x v="7"/>
    <s v="FTI Consulting"/>
    <x v="0"/>
    <x v="15"/>
    <x v="0"/>
    <x v="564"/>
    <d v="2023-02-25T00:00:00"/>
    <x v="4"/>
  </r>
  <r>
    <n v="609"/>
    <n v="166551333"/>
    <s v="Regional Account Executive"/>
    <x v="11"/>
    <s v="WellSky"/>
    <x v="0"/>
    <x v="9"/>
    <x v="0"/>
    <x v="565"/>
    <d v="2023-04-20T00:00:00"/>
    <x v="6"/>
  </r>
  <r>
    <n v="610"/>
    <n v="169597426"/>
    <s v="Manager"/>
    <x v="0"/>
    <s v="Pall Corporation"/>
    <x v="0"/>
    <x v="17"/>
    <x v="1"/>
    <x v="566"/>
    <d v="2022-12-18T00:00:00"/>
    <x v="7"/>
  </r>
  <r>
    <n v="611"/>
    <n v="169597246"/>
    <s v="VP Head Global Value &amp; Access"/>
    <x v="3"/>
    <s v="Novartis Gene Therapies"/>
    <x v="7"/>
    <x v="17"/>
    <x v="1"/>
    <x v="567"/>
    <d v="2022-12-17T00:00:00"/>
    <x v="7"/>
  </r>
  <r>
    <n v="612"/>
    <n v="159076680"/>
    <s v="Assistant Professor"/>
    <x v="4"/>
    <s v="UT Southwestern Medical Center"/>
    <x v="3"/>
    <x v="17"/>
    <x v="1"/>
    <x v="568"/>
    <d v="2023-03-20T00:00:00"/>
    <x v="6"/>
  </r>
  <r>
    <n v="613"/>
    <n v="143058814"/>
    <s v="Research Fellow"/>
    <x v="4"/>
    <s v="Catalent Cell Gene Therapy"/>
    <x v="0"/>
    <x v="15"/>
    <x v="0"/>
    <x v="569"/>
    <d v="2022-11-30T00:00:00"/>
    <x v="4"/>
  </r>
  <r>
    <n v="614"/>
    <n v="166843589"/>
    <s v="Director"/>
    <x v="2"/>
    <s v="IQVIA"/>
    <x v="0"/>
    <x v="1"/>
    <x v="0"/>
    <x v="570"/>
    <d v="2022-11-30T00:00:00"/>
    <x v="7"/>
  </r>
  <r>
    <n v="615"/>
    <n v="144180896"/>
    <s v="VP of Marketing"/>
    <x v="3"/>
    <s v="Center for Breakthrough Medicines"/>
    <x v="0"/>
    <x v="15"/>
    <x v="0"/>
    <x v="571"/>
    <d v="2022-11-30T00:00:00"/>
    <x v="4"/>
  </r>
  <r>
    <n v="616"/>
    <n v="166552635"/>
    <s v="Systems Engineer "/>
    <x v="4"/>
    <s v="Azenta Life Sciences "/>
    <x v="0"/>
    <x v="15"/>
    <x v="0"/>
    <x v="572"/>
    <d v="2022-11-30T00:00:00"/>
    <x v="5"/>
  </r>
  <r>
    <n v="617"/>
    <n v="166841423"/>
    <s v="Senior Director of Sales and Strategic Partnerships"/>
    <x v="7"/>
    <s v="Andelyn Biosciences"/>
    <x v="0"/>
    <x v="15"/>
    <x v="0"/>
    <x v="573"/>
    <d v="2022-11-30T00:00:00"/>
    <x v="3"/>
  </r>
  <r>
    <n v="618"/>
    <n v="166552583"/>
    <s v="VP Technical Operations"/>
    <x v="3"/>
    <s v="BioNTech US"/>
    <x v="4"/>
    <x v="15"/>
    <x v="0"/>
    <x v="574"/>
    <d v="2022-11-30T00:00:00"/>
    <x v="5"/>
  </r>
  <r>
    <n v="619"/>
    <n v="166552565"/>
    <s v="Manager"/>
    <x v="0"/>
    <s v="Bionique Testing Laboratories "/>
    <x v="0"/>
    <x v="15"/>
    <x v="0"/>
    <x v="575"/>
    <d v="2022-11-30T00:00:00"/>
    <x v="5"/>
  </r>
  <r>
    <n v="620"/>
    <n v="166841779"/>
    <m/>
    <x v="6"/>
    <s v="Genezen"/>
    <x v="0"/>
    <x v="10"/>
    <x v="3"/>
    <x v="576"/>
    <d v="2023-01-09T00:00:00"/>
    <x v="7"/>
  </r>
  <r>
    <n v="621"/>
    <n v="166843613"/>
    <s v="Manager"/>
    <x v="0"/>
    <s v="Terumo Blood and Cell Technologies"/>
    <x v="0"/>
    <x v="17"/>
    <x v="1"/>
    <x v="577"/>
    <d v="2023-01-25T00:00:00"/>
    <x v="7"/>
  </r>
  <r>
    <n v="622"/>
    <n v="169597090"/>
    <s v="Manager"/>
    <x v="0"/>
    <s v="Pall Corporation"/>
    <x v="0"/>
    <x v="10"/>
    <x v="3"/>
    <x v="578"/>
    <d v="2022-12-24T00:00:00"/>
    <x v="7"/>
  </r>
  <r>
    <n v="623"/>
    <n v="166551325"/>
    <s v="Manager"/>
    <x v="0"/>
    <s v="Wilco Precision Testers USA "/>
    <x v="2"/>
    <x v="9"/>
    <x v="0"/>
    <x v="579"/>
    <d v="2023-04-24T00:00:00"/>
    <x v="6"/>
  </r>
  <r>
    <n v="624"/>
    <n v="166557645"/>
    <s v="Partner"/>
    <x v="4"/>
    <s v="BroadOak Capital Partners"/>
    <x v="2"/>
    <x v="15"/>
    <x v="0"/>
    <x v="580"/>
    <d v="2022-11-30T00:00:00"/>
    <x v="4"/>
  </r>
  <r>
    <n v="625"/>
    <n v="136720857"/>
    <s v="Manager"/>
    <x v="0"/>
    <s v="MasterControl"/>
    <x v="2"/>
    <x v="1"/>
    <x v="0"/>
    <x v="581"/>
    <d v="2022-11-30T00:00:00"/>
    <x v="7"/>
  </r>
  <r>
    <n v="626"/>
    <n v="136719949"/>
    <s v="Regional Account Executive "/>
    <x v="11"/>
    <s v="MasterControl"/>
    <x v="2"/>
    <x v="1"/>
    <x v="0"/>
    <x v="582"/>
    <d v="2022-11-30T00:00:00"/>
    <x v="7"/>
  </r>
  <r>
    <n v="627"/>
    <n v="171898183"/>
    <m/>
    <x v="6"/>
    <s v="Mayo Clinic"/>
    <x v="3"/>
    <x v="1"/>
    <x v="0"/>
    <x v="583"/>
    <d v="2022-11-30T00:00:00"/>
    <x v="7"/>
  </r>
  <r>
    <n v="628"/>
    <n v="166842767"/>
    <s v="C-suite"/>
    <x v="1"/>
    <s v="Atara Biotherapeutics"/>
    <x v="4"/>
    <x v="15"/>
    <x v="0"/>
    <x v="584"/>
    <d v="2022-11-30T00:00:00"/>
    <x v="5"/>
  </r>
  <r>
    <n v="629"/>
    <n v="166842801"/>
    <s v="C-suite"/>
    <x v="1"/>
    <s v="Avectas"/>
    <x v="0"/>
    <x v="15"/>
    <x v="0"/>
    <x v="585"/>
    <d v="2022-11-30T00:00:00"/>
    <x v="5"/>
  </r>
  <r>
    <n v="630"/>
    <n v="166842775"/>
    <s v="VP Regenerative Medicine"/>
    <x v="3"/>
    <s v="Athersys"/>
    <x v="0"/>
    <x v="15"/>
    <x v="0"/>
    <x v="586"/>
    <d v="2022-11-30T00:00:00"/>
    <x v="5"/>
  </r>
  <r>
    <n v="631"/>
    <n v="166842803"/>
    <s v="VP Technical Operations, Cell Therapy"/>
    <x v="3"/>
    <s v="Athenex"/>
    <x v="4"/>
    <x v="15"/>
    <x v="0"/>
    <x v="587"/>
    <d v="2022-11-30T00:00:00"/>
    <x v="5"/>
  </r>
  <r>
    <n v="632"/>
    <n v="157993990"/>
    <s v="Regional Account Executive"/>
    <x v="11"/>
    <s v="MasterControl"/>
    <x v="2"/>
    <x v="1"/>
    <x v="0"/>
    <x v="588"/>
    <d v="2022-11-30T00:00:00"/>
    <x v="7"/>
  </r>
  <r>
    <n v="633"/>
    <n v="166842787"/>
    <s v="C-suite"/>
    <x v="1"/>
    <s v="Athersys"/>
    <x v="0"/>
    <x v="15"/>
    <x v="0"/>
    <x v="589"/>
    <d v="2022-11-30T00:00:00"/>
    <x v="5"/>
  </r>
  <r>
    <n v="634"/>
    <n v="166551313"/>
    <s v="C-suite"/>
    <x v="1"/>
    <s v="X-Therma"/>
    <x v="2"/>
    <x v="9"/>
    <x v="0"/>
    <x v="590"/>
    <d v="2023-05-01T00:00:00"/>
    <x v="6"/>
  </r>
  <r>
    <n v="635"/>
    <n v="166841951"/>
    <s v="Practice Lead"/>
    <x v="4"/>
    <s v="Genesis"/>
    <x v="0"/>
    <x v="10"/>
    <x v="3"/>
    <x v="591"/>
    <d v="2023-03-07T00:00:00"/>
    <x v="7"/>
  </r>
  <r>
    <n v="636"/>
    <n v="166552581"/>
    <s v="VP Manufacturing &amp; Supply Chain"/>
    <x v="3"/>
    <s v="Carisma Therapeutics"/>
    <x v="4"/>
    <x v="15"/>
    <x v="0"/>
    <x v="592"/>
    <d v="2022-11-30T00:00:00"/>
    <x v="4"/>
  </r>
  <r>
    <n v="637"/>
    <n v="166551315"/>
    <s v="Director"/>
    <x v="2"/>
    <s v="Yposkesi"/>
    <x v="0"/>
    <x v="9"/>
    <x v="0"/>
    <x v="593"/>
    <d v="2023-05-03T00:00:00"/>
    <x v="6"/>
  </r>
  <r>
    <n v="638"/>
    <n v="166553407"/>
    <s v="VP Marketing"/>
    <x v="3"/>
    <s v="BioBridge Global"/>
    <x v="0"/>
    <x v="15"/>
    <x v="0"/>
    <x v="594"/>
    <d v="2023-03-01T00:00:00"/>
    <x v="5"/>
  </r>
  <r>
    <n v="639"/>
    <n v="169597105"/>
    <s v="Manager"/>
    <x v="0"/>
    <s v="Pall Corporation"/>
    <x v="0"/>
    <x v="10"/>
    <x v="3"/>
    <x v="595"/>
    <d v="2022-12-23T00:00:00"/>
    <x v="7"/>
  </r>
  <r>
    <n v="640"/>
    <n v="166842339"/>
    <s v="VP"/>
    <x v="3"/>
    <s v="Instil Bio"/>
    <x v="4"/>
    <x v="15"/>
    <x v="0"/>
    <x v="596"/>
    <d v="2023-01-31T00:00:00"/>
    <x v="7"/>
  </r>
  <r>
    <n v="641"/>
    <n v="169596490"/>
    <s v="Director"/>
    <x v="2"/>
    <s v="Pall Corporation"/>
    <x v="0"/>
    <x v="17"/>
    <x v="1"/>
    <x v="597"/>
    <d v="2022-12-25T00:00:00"/>
    <x v="7"/>
  </r>
  <r>
    <n v="642"/>
    <n v="165377620"/>
    <s v="Manager"/>
    <x v="0"/>
    <s v="VGXI"/>
    <x v="0"/>
    <x v="17"/>
    <x v="1"/>
    <x v="598"/>
    <d v="2023-03-26T00:00:00"/>
    <x v="6"/>
  </r>
  <r>
    <n v="643"/>
    <n v="166841745"/>
    <s v="Process Development Engineering Principal Scientific Associate "/>
    <x v="4"/>
    <s v="Vertex Pharmaceutical "/>
    <x v="4"/>
    <x v="17"/>
    <x v="1"/>
    <x v="599"/>
    <d v="2023-03-25T00:00:00"/>
    <x v="6"/>
  </r>
  <r>
    <n v="644"/>
    <n v="148461492"/>
    <s v="Senior VP Business Development and Strategy"/>
    <x v="7"/>
    <s v="Center for Breakthrough Medicines"/>
    <x v="0"/>
    <x v="15"/>
    <x v="0"/>
    <x v="600"/>
    <d v="2023-03-01T00:00:00"/>
    <x v="4"/>
  </r>
  <r>
    <n v="645"/>
    <n v="169597183"/>
    <s v="Manager"/>
    <x v="0"/>
    <s v="POMS"/>
    <x v="0"/>
    <x v="17"/>
    <x v="1"/>
    <x v="601"/>
    <d v="2023-01-02T00:00:00"/>
    <x v="7"/>
  </r>
  <r>
    <n v="646"/>
    <n v="169597177"/>
    <s v="Manager"/>
    <x v="0"/>
    <s v="Polyplus"/>
    <x v="0"/>
    <x v="17"/>
    <x v="1"/>
    <x v="602"/>
    <d v="2022-12-31T00:00:00"/>
    <x v="7"/>
  </r>
  <r>
    <n v="647"/>
    <n v="169597447"/>
    <s v="VP Sales and Marketing"/>
    <x v="3"/>
    <s v="POMS"/>
    <x v="0"/>
    <x v="17"/>
    <x v="1"/>
    <x v="603"/>
    <d v="2023-01-01T00:00:00"/>
    <x v="7"/>
  </r>
  <r>
    <n v="648"/>
    <n v="157993294"/>
    <s v="Director"/>
    <x v="2"/>
    <s v="Center for Breakthrough Medicines"/>
    <x v="0"/>
    <x v="15"/>
    <x v="0"/>
    <x v="604"/>
    <d v="2023-03-01T00:00:00"/>
    <x v="4"/>
  </r>
  <r>
    <n v="649"/>
    <n v="166552559"/>
    <s v="Sales"/>
    <x v="4"/>
    <s v="Bio-Techne"/>
    <x v="0"/>
    <x v="15"/>
    <x v="0"/>
    <x v="605"/>
    <d v="2023-03-01T00:00:00"/>
    <x v="5"/>
  </r>
  <r>
    <n v="650"/>
    <n v="169597168"/>
    <s v="Manager"/>
    <x v="0"/>
    <s v="NMDP Be The Match"/>
    <x v="0"/>
    <x v="17"/>
    <x v="1"/>
    <x v="606"/>
    <d v="2022-12-15T00:00:00"/>
    <x v="7"/>
  </r>
  <r>
    <n v="651"/>
    <n v="169597036"/>
    <s v="Head of Strategy and Operations"/>
    <x v="5"/>
    <s v="Novartis Gene Therapies"/>
    <x v="7"/>
    <x v="17"/>
    <x v="1"/>
    <x v="607"/>
    <d v="2022-12-16T00:00:00"/>
    <x v="7"/>
  </r>
  <r>
    <n v="652"/>
    <n v="168100613"/>
    <s v="VP Head of Innovation"/>
    <x v="3"/>
    <s v="Danaher Corporation"/>
    <x v="2"/>
    <x v="15"/>
    <x v="0"/>
    <x v="608"/>
    <d v="2023-01-03T00:00:00"/>
    <x v="4"/>
  </r>
  <r>
    <n v="653"/>
    <n v="166551361"/>
    <m/>
    <x v="6"/>
    <s v="Avectas"/>
    <x v="0"/>
    <x v="15"/>
    <x v="0"/>
    <x v="609"/>
    <d v="2023-03-01T00:00:00"/>
    <x v="5"/>
  </r>
  <r>
    <n v="654"/>
    <n v="157993042"/>
    <s v="C-suite"/>
    <x v="1"/>
    <s v="Avectas"/>
    <x v="0"/>
    <x v="15"/>
    <x v="0"/>
    <x v="610"/>
    <d v="2023-03-01T00:00:00"/>
    <x v="5"/>
  </r>
  <r>
    <n v="655"/>
    <n v="166549985"/>
    <s v="Head of Clinical and Process Development"/>
    <x v="5"/>
    <s v="Lonza Biologics"/>
    <x v="0"/>
    <x v="1"/>
    <x v="0"/>
    <x v="611"/>
    <d v="2023-03-01T00:00:00"/>
    <x v="7"/>
  </r>
  <r>
    <n v="656"/>
    <n v="166549987"/>
    <s v="Director"/>
    <x v="2"/>
    <s v="Lonza Biologics"/>
    <x v="0"/>
    <x v="1"/>
    <x v="0"/>
    <x v="611"/>
    <d v="2023-03-01T00:00:00"/>
    <x v="7"/>
  </r>
  <r>
    <n v="657"/>
    <n v="166551713"/>
    <s v="Manager"/>
    <x v="0"/>
    <s v="Terumo Blood and Cell Technologies"/>
    <x v="0"/>
    <x v="17"/>
    <x v="1"/>
    <x v="612"/>
    <d v="2023-01-28T00:00:00"/>
    <x v="8"/>
  </r>
  <r>
    <n v="658"/>
    <n v="166549273"/>
    <s v="Associate"/>
    <x v="8"/>
    <s v="WP"/>
    <x v="2"/>
    <x v="9"/>
    <x v="0"/>
    <x v="613"/>
    <d v="2023-04-25T00:00:00"/>
    <x v="6"/>
  </r>
  <r>
    <n v="659"/>
    <n v="166551461"/>
    <s v="C-suite"/>
    <x v="1"/>
    <s v="Forge Biologics"/>
    <x v="4"/>
    <x v="15"/>
    <x v="0"/>
    <x v="614"/>
    <d v="2023-02-14T00:00:00"/>
    <x v="4"/>
  </r>
  <r>
    <n v="660"/>
    <n v="169596421"/>
    <s v="Manager"/>
    <x v="0"/>
    <s v="Fresenius Kabi"/>
    <x v="0"/>
    <x v="15"/>
    <x v="0"/>
    <x v="615"/>
    <d v="2023-02-23T00:00:00"/>
    <x v="4"/>
  </r>
  <r>
    <n v="661"/>
    <n v="166557685"/>
    <s v="VP of Customer Experience"/>
    <x v="3"/>
    <s v="Be The Match BioTherapies"/>
    <x v="0"/>
    <x v="15"/>
    <x v="0"/>
    <x v="616"/>
    <d v="2023-03-01T00:00:00"/>
    <x v="5"/>
  </r>
  <r>
    <n v="662"/>
    <n v="168101066"/>
    <s v="Manager"/>
    <x v="0"/>
    <s v="Fresenius Kabi"/>
    <x v="0"/>
    <x v="15"/>
    <x v="0"/>
    <x v="617"/>
    <d v="2023-02-24T00:00:00"/>
    <x v="4"/>
  </r>
  <r>
    <n v="663"/>
    <n v="166557653"/>
    <s v="Manager"/>
    <x v="0"/>
    <s v="Bausch+Stroebel"/>
    <x v="0"/>
    <x v="15"/>
    <x v="0"/>
    <x v="618"/>
    <d v="2023-01-01T00:00:00"/>
    <x v="5"/>
  </r>
  <r>
    <n v="664"/>
    <n v="166553375"/>
    <s v="Manager"/>
    <x v="0"/>
    <s v="Bausch+Stroebel"/>
    <x v="0"/>
    <x v="15"/>
    <x v="0"/>
    <x v="619"/>
    <d v="2023-03-01T00:00:00"/>
    <x v="5"/>
  </r>
  <r>
    <n v="665"/>
    <n v="166557667"/>
    <s v="Manager"/>
    <x v="0"/>
    <s v="Be The Match BioTherapies"/>
    <x v="0"/>
    <x v="15"/>
    <x v="0"/>
    <x v="620"/>
    <d v="2023-02-01T00:00:00"/>
    <x v="5"/>
  </r>
  <r>
    <n v="666"/>
    <n v="166557651"/>
    <s v="Manager"/>
    <x v="0"/>
    <s v="Be The Match BioTherapies"/>
    <x v="0"/>
    <x v="15"/>
    <x v="0"/>
    <x v="621"/>
    <d v="2023-03-01T00:00:00"/>
    <x v="5"/>
  </r>
  <r>
    <n v="667"/>
    <n v="166557675"/>
    <s v="Senior Director Sales and Business Development "/>
    <x v="7"/>
    <s v="Be The Match BioTherapies"/>
    <x v="0"/>
    <x v="15"/>
    <x v="0"/>
    <x v="622"/>
    <d v="2023-03-01T00:00:00"/>
    <x v="5"/>
  </r>
  <r>
    <n v="668"/>
    <n v="166557657"/>
    <s v="Manager"/>
    <x v="0"/>
    <s v="Be The Match BioTherapies"/>
    <x v="0"/>
    <x v="15"/>
    <x v="0"/>
    <x v="623"/>
    <d v="2023-03-01T00:00:00"/>
    <x v="5"/>
  </r>
  <r>
    <n v="669"/>
    <n v="166557671"/>
    <s v="Director"/>
    <x v="2"/>
    <s v="Be The Match BioTherapies"/>
    <x v="0"/>
    <x v="15"/>
    <x v="0"/>
    <x v="624"/>
    <d v="2023-03-01T00:00:00"/>
    <x v="5"/>
  </r>
  <r>
    <n v="670"/>
    <n v="166557659"/>
    <s v="Senior Vice President, Sales and Business Development"/>
    <x v="7"/>
    <s v="Be The Match BioTherapies"/>
    <x v="0"/>
    <x v="15"/>
    <x v="0"/>
    <x v="625"/>
    <d v="2023-03-01T00:00:00"/>
    <x v="5"/>
  </r>
  <r>
    <n v="671"/>
    <n v="166557673"/>
    <s v="Director"/>
    <x v="2"/>
    <s v="Be The Match BioTherapies"/>
    <x v="0"/>
    <x v="15"/>
    <x v="0"/>
    <x v="626"/>
    <d v="2023-03-01T00:00:00"/>
    <x v="5"/>
  </r>
  <r>
    <n v="672"/>
    <n v="143068318"/>
    <s v="Manager"/>
    <x v="0"/>
    <s v="POMS"/>
    <x v="0"/>
    <x v="17"/>
    <x v="1"/>
    <x v="627"/>
    <d v="2023-01-03T00:00:00"/>
    <x v="7"/>
  </r>
  <r>
    <n v="673"/>
    <n v="166551451"/>
    <s v="VP Research &amp; Development, Hematology"/>
    <x v="3"/>
    <s v="CSL Behring"/>
    <x v="7"/>
    <x v="15"/>
    <x v="0"/>
    <x v="628"/>
    <d v="2022-12-25T00:00:00"/>
    <x v="4"/>
  </r>
  <r>
    <n v="674"/>
    <n v="166551455"/>
    <s v="Principal"/>
    <x v="9"/>
    <s v="Dark Horse Consulting"/>
    <x v="0"/>
    <x v="15"/>
    <x v="0"/>
    <x v="629"/>
    <d v="2023-01-11T00:00:00"/>
    <x v="4"/>
  </r>
  <r>
    <n v="675"/>
    <n v="166553417"/>
    <s v="C-suite"/>
    <x v="1"/>
    <s v="Dark Horse Consulting"/>
    <x v="0"/>
    <x v="15"/>
    <x v="0"/>
    <x v="629"/>
    <d v="2023-01-10T00:00:00"/>
    <x v="4"/>
  </r>
  <r>
    <n v="676"/>
    <n v="169597381"/>
    <s v="Director"/>
    <x v="2"/>
    <s v="NMDP Be The Match"/>
    <x v="0"/>
    <x v="17"/>
    <x v="1"/>
    <x v="630"/>
    <d v="2022-12-13T00:00:00"/>
    <x v="7"/>
  </r>
  <r>
    <n v="677"/>
    <n v="166842815"/>
    <s v="VP Head of CMC"/>
    <x v="3"/>
    <s v="Arbor Biotechnologies"/>
    <x v="4"/>
    <x v="15"/>
    <x v="0"/>
    <x v="631"/>
    <d v="2023-03-01T00:00:00"/>
    <x v="3"/>
  </r>
  <r>
    <n v="678"/>
    <n v="166842991"/>
    <s v="Business development"/>
    <x v="4"/>
    <s v="VIVEbiotech"/>
    <x v="4"/>
    <x v="9"/>
    <x v="0"/>
    <x v="632"/>
    <d v="2023-04-15T00:00:00"/>
    <x v="6"/>
  </r>
  <r>
    <n v="679"/>
    <n v="166842817"/>
    <s v="Director"/>
    <x v="2"/>
    <s v="ArchiMed"/>
    <x v="1"/>
    <x v="15"/>
    <x v="0"/>
    <x v="633"/>
    <d v="2023-03-19T00:00:00"/>
    <x v="3"/>
  </r>
  <r>
    <n v="680"/>
    <n v="166842789"/>
    <s v="Head of Marketing"/>
    <x v="5"/>
    <s v="Arcellx"/>
    <x v="0"/>
    <x v="15"/>
    <x v="0"/>
    <x v="634"/>
    <d v="2023-03-01T00:00:00"/>
    <x v="3"/>
  </r>
  <r>
    <n v="681"/>
    <n v="166557683"/>
    <s v="C-suite"/>
    <x v="1"/>
    <s v="BioMagnetic Solutions"/>
    <x v="0"/>
    <x v="15"/>
    <x v="0"/>
    <x v="635"/>
    <d v="2023-03-01T00:00:00"/>
    <x v="5"/>
  </r>
  <r>
    <n v="682"/>
    <n v="166557647"/>
    <s v="Executive VP &amp; Chief Scientific Officer"/>
    <x v="11"/>
    <s v="BioLife Solutions "/>
    <x v="0"/>
    <x v="15"/>
    <x v="0"/>
    <x v="636"/>
    <d v="2023-03-01T00:00:00"/>
    <x v="5"/>
  </r>
  <r>
    <n v="683"/>
    <n v="166551429"/>
    <s v="VP Market Development"/>
    <x v="3"/>
    <s v="CSafe"/>
    <x v="0"/>
    <x v="15"/>
    <x v="0"/>
    <x v="637"/>
    <d v="2022-12-22T00:00:00"/>
    <x v="4"/>
  </r>
  <r>
    <n v="684"/>
    <n v="166549155"/>
    <s v="Head of Analytical Development"/>
    <x v="5"/>
    <s v="Andelyn Biosciences"/>
    <x v="0"/>
    <x v="15"/>
    <x v="0"/>
    <x v="638"/>
    <d v="2023-03-01T00:00:00"/>
    <x v="3"/>
  </r>
  <r>
    <n v="685"/>
    <n v="166841429"/>
    <s v="C-suite"/>
    <x v="1"/>
    <s v="Andelyn Biosciences"/>
    <x v="0"/>
    <x v="15"/>
    <x v="0"/>
    <x v="638"/>
    <d v="2023-03-01T00:00:00"/>
    <x v="3"/>
  </r>
  <r>
    <n v="686"/>
    <n v="166549975"/>
    <m/>
    <x v="6"/>
    <s v="Lonza Biologics"/>
    <x v="0"/>
    <x v="1"/>
    <x v="0"/>
    <x v="639"/>
    <d v="2023-03-01T00:00:00"/>
    <x v="7"/>
  </r>
  <r>
    <n v="687"/>
    <n v="166552611"/>
    <s v="C-suite"/>
    <x v="1"/>
    <s v="Bionique Testing Laboratories "/>
    <x v="0"/>
    <x v="15"/>
    <x v="0"/>
    <x v="640"/>
    <d v="2023-03-01T00:00:00"/>
    <x v="5"/>
  </r>
  <r>
    <n v="688"/>
    <n v="166552625"/>
    <s v="Manager"/>
    <x v="0"/>
    <s v="bioMérieux"/>
    <x v="0"/>
    <x v="15"/>
    <x v="0"/>
    <x v="641"/>
    <d v="2023-03-01T00:00:00"/>
    <x v="5"/>
  </r>
  <r>
    <n v="689"/>
    <n v="166552659"/>
    <s v="Manager"/>
    <x v="0"/>
    <s v="Bionique Testing Laboratories"/>
    <x v="0"/>
    <x v="15"/>
    <x v="0"/>
    <x v="642"/>
    <d v="2023-03-01T00:00:00"/>
    <x v="5"/>
  </r>
  <r>
    <n v="690"/>
    <n v="166553367"/>
    <s v="Business Senior Director"/>
    <x v="7"/>
    <s v="bioMérieux"/>
    <x v="0"/>
    <x v="15"/>
    <x v="0"/>
    <x v="643"/>
    <d v="2023-03-01T00:00:00"/>
    <x v="5"/>
  </r>
  <r>
    <n v="691"/>
    <n v="143060696"/>
    <s v="Director"/>
    <x v="2"/>
    <s v="Catalent Cell Gene Therapy"/>
    <x v="0"/>
    <x v="15"/>
    <x v="0"/>
    <x v="644"/>
    <d v="2023-03-01T00:00:00"/>
    <x v="4"/>
  </r>
  <r>
    <n v="692"/>
    <n v="143039736"/>
    <s v="Director"/>
    <x v="2"/>
    <s v="Catalent Cell Gene Therapy"/>
    <x v="0"/>
    <x v="15"/>
    <x v="0"/>
    <x v="645"/>
    <d v="2023-03-01T00:00:00"/>
    <x v="4"/>
  </r>
  <r>
    <n v="693"/>
    <n v="166843459"/>
    <s v="Manager"/>
    <x v="0"/>
    <s v="Lonza Walkersville"/>
    <x v="0"/>
    <x v="1"/>
    <x v="0"/>
    <x v="646"/>
    <d v="2023-03-01T00:00:00"/>
    <x v="7"/>
  </r>
  <r>
    <n v="694"/>
    <n v="168101024"/>
    <s v="VP of Sales "/>
    <x v="3"/>
    <s v="Command Medical Products"/>
    <x v="2"/>
    <x v="15"/>
    <x v="0"/>
    <x v="647"/>
    <d v="2022-12-09T00:00:00"/>
    <x v="4"/>
  </r>
  <r>
    <n v="695"/>
    <n v="166843341"/>
    <s v="Manager"/>
    <x v="0"/>
    <s v="Forge Biologics"/>
    <x v="4"/>
    <x v="15"/>
    <x v="0"/>
    <x v="648"/>
    <d v="2023-02-10T00:00:00"/>
    <x v="4"/>
  </r>
  <r>
    <n v="696"/>
    <n v="166557691"/>
    <s v="Director"/>
    <x v="2"/>
    <s v="Bristol Myers Squibb"/>
    <x v="7"/>
    <x v="15"/>
    <x v="0"/>
    <x v="649"/>
    <d v="2023-03-01T00:00:00"/>
    <x v="5"/>
  </r>
  <r>
    <n v="697"/>
    <n v="166557689"/>
    <s v="Director"/>
    <x v="2"/>
    <s v="Bristol Myers Squibb"/>
    <x v="7"/>
    <x v="15"/>
    <x v="0"/>
    <x v="650"/>
    <d v="2023-03-01T00:00:00"/>
    <x v="5"/>
  </r>
  <r>
    <n v="698"/>
    <n v="166552641"/>
    <s v="Director"/>
    <x v="2"/>
    <s v="Bristol Myers Squibb"/>
    <x v="7"/>
    <x v="15"/>
    <x v="0"/>
    <x v="651"/>
    <d v="2023-03-01T00:00:00"/>
    <x v="5"/>
  </r>
  <r>
    <n v="699"/>
    <n v="166557655"/>
    <s v="Strategic Sourcing"/>
    <x v="4"/>
    <s v="Bristol Myers Squibb"/>
    <x v="7"/>
    <x v="15"/>
    <x v="0"/>
    <x v="652"/>
    <d v="2023-03-01T00:00:00"/>
    <x v="5"/>
  </r>
  <r>
    <n v="700"/>
    <n v="158218824"/>
    <s v="Head of Field Marketing"/>
    <x v="5"/>
    <s v="MilliporeSigma"/>
    <x v="0"/>
    <x v="1"/>
    <x v="0"/>
    <x v="653"/>
    <d v="2023-03-01T00:00:00"/>
    <x v="7"/>
  </r>
  <r>
    <n v="701"/>
    <n v="166843467"/>
    <s v="Director"/>
    <x v="2"/>
    <s v="Medix "/>
    <x v="2"/>
    <x v="1"/>
    <x v="0"/>
    <x v="654"/>
    <d v="2023-03-01T00:00:00"/>
    <x v="7"/>
  </r>
  <r>
    <n v="702"/>
    <n v="166549991"/>
    <m/>
    <x v="6"/>
    <s v="McKesson Corporation"/>
    <x v="0"/>
    <x v="1"/>
    <x v="0"/>
    <x v="655"/>
    <d v="2023-03-01T00:00:00"/>
    <x v="7"/>
  </r>
  <r>
    <n v="703"/>
    <n v="166842281"/>
    <s v="Founder"/>
    <x v="10"/>
    <s v="Genezen"/>
    <x v="0"/>
    <x v="10"/>
    <x v="3"/>
    <x v="656"/>
    <d v="2023-03-11T00:00:00"/>
    <x v="7"/>
  </r>
  <r>
    <n v="704"/>
    <n v="166843471"/>
    <m/>
    <x v="6"/>
    <s v="Medical College of Wisconsin"/>
    <x v="3"/>
    <x v="1"/>
    <x v="0"/>
    <x v="657"/>
    <d v="2023-03-01T00:00:00"/>
    <x v="7"/>
  </r>
  <r>
    <n v="705"/>
    <n v="168101060"/>
    <s v="Director"/>
    <x v="2"/>
    <s v="G-CON"/>
    <x v="0"/>
    <x v="10"/>
    <x v="3"/>
    <x v="658"/>
    <d v="2023-03-04T00:00:00"/>
    <x v="4"/>
  </r>
  <r>
    <n v="706"/>
    <n v="168100310"/>
    <s v="VP"/>
    <x v="3"/>
    <s v="Genemagic Biosciences"/>
    <x v="3"/>
    <x v="10"/>
    <x v="3"/>
    <x v="659"/>
    <d v="2023-03-06T00:00:00"/>
    <x v="7"/>
  </r>
  <r>
    <n v="707"/>
    <n v="168100841"/>
    <s v="Director"/>
    <x v="2"/>
    <s v="Gamma Biosciences"/>
    <x v="0"/>
    <x v="15"/>
    <x v="0"/>
    <x v="660"/>
    <d v="2023-03-01T00:00:00"/>
    <x v="4"/>
  </r>
  <r>
    <n v="708"/>
    <n v="169596457"/>
    <s v="Director"/>
    <x v="2"/>
    <s v="Emerson Automation Solutions"/>
    <x v="0"/>
    <x v="15"/>
    <x v="0"/>
    <x v="661"/>
    <d v="2023-01-26T00:00:00"/>
    <x v="4"/>
  </r>
  <r>
    <n v="709"/>
    <n v="168101012"/>
    <s v="Principal"/>
    <x v="9"/>
    <s v="Dynamk Capital"/>
    <x v="1"/>
    <x v="15"/>
    <x v="0"/>
    <x v="662"/>
    <d v="2023-01-19T00:00:00"/>
    <x v="4"/>
  </r>
  <r>
    <n v="710"/>
    <n v="166841949"/>
    <s v="Director"/>
    <x v="2"/>
    <s v="Genesis AEC"/>
    <x v="0"/>
    <x v="10"/>
    <x v="3"/>
    <x v="663"/>
    <d v="2023-03-08T00:00:00"/>
    <x v="7"/>
  </r>
  <r>
    <n v="711"/>
    <n v="168101033"/>
    <s v="Principal"/>
    <x v="9"/>
    <s v="Dynamk Capital"/>
    <x v="1"/>
    <x v="15"/>
    <x v="0"/>
    <x v="664"/>
    <d v="2023-01-20T00:00:00"/>
    <x v="4"/>
  </r>
  <r>
    <n v="712"/>
    <n v="166552595"/>
    <s v="Student"/>
    <x v="4"/>
    <s v="Bradley University"/>
    <x v="3"/>
    <x v="15"/>
    <x v="0"/>
    <x v="665"/>
    <d v="2023-03-01T00:00:00"/>
    <x v="5"/>
  </r>
  <r>
    <n v="713"/>
    <n v="166549217"/>
    <s v="Senior VP Technical Operations"/>
    <x v="7"/>
    <s v="Turnstone Biologics"/>
    <x v="4"/>
    <x v="17"/>
    <x v="1"/>
    <x v="666"/>
    <d v="2023-03-13T00:00:00"/>
    <x v="6"/>
  </r>
  <r>
    <n v="714"/>
    <n v="143025414"/>
    <s v="Principal research associate"/>
    <x v="9"/>
    <s v="Vertex Pharmaceutical "/>
    <x v="4"/>
    <x v="17"/>
    <x v="1"/>
    <x v="667"/>
    <d v="2023-03-14T00:00:00"/>
    <x v="6"/>
  </r>
  <r>
    <n v="715"/>
    <n v="169596472"/>
    <s v="Director"/>
    <x v="2"/>
    <s v="Emerson Automation Solutions"/>
    <x v="0"/>
    <x v="15"/>
    <x v="0"/>
    <x v="668"/>
    <d v="2023-01-27T00:00:00"/>
    <x v="4"/>
  </r>
  <r>
    <n v="716"/>
    <n v="166551447"/>
    <s v="Executive Administrator"/>
    <x v="11"/>
    <s v="CSafe"/>
    <x v="0"/>
    <x v="15"/>
    <x v="0"/>
    <x v="669"/>
    <d v="2022-12-24T00:00:00"/>
    <x v="4"/>
  </r>
  <r>
    <n v="717"/>
    <n v="169597162"/>
    <s v="Manager"/>
    <x v="0"/>
    <s v="Pall Corporation"/>
    <x v="0"/>
    <x v="10"/>
    <x v="3"/>
    <x v="670"/>
    <d v="2022-12-21T00:00:00"/>
    <x v="7"/>
  </r>
  <r>
    <n v="718"/>
    <n v="169596478"/>
    <s v="Personal knowledge management Sales"/>
    <x v="4"/>
    <s v="Emerson Automation Solutions"/>
    <x v="0"/>
    <x v="15"/>
    <x v="0"/>
    <x v="671"/>
    <d v="2023-01-25T00:00:00"/>
    <x v="4"/>
  </r>
  <r>
    <n v="719"/>
    <n v="169597234"/>
    <s v="Biotech Specialist"/>
    <x v="4"/>
    <s v="Pall Corporation"/>
    <x v="0"/>
    <x v="10"/>
    <x v="3"/>
    <x v="672"/>
    <d v="2022-12-22T00:00:00"/>
    <x v="7"/>
  </r>
  <r>
    <n v="720"/>
    <n v="166551331"/>
    <s v="Senior VP Commercialization "/>
    <x v="7"/>
    <s v="X-Therma"/>
    <x v="2"/>
    <x v="9"/>
    <x v="0"/>
    <x v="673"/>
    <d v="2023-04-30T00:00:00"/>
    <x v="6"/>
  </r>
  <r>
    <n v="721"/>
    <n v="166552619"/>
    <s v="C-suite"/>
    <x v="1"/>
    <s v="BioLife Solutions"/>
    <x v="0"/>
    <x v="15"/>
    <x v="0"/>
    <x v="674"/>
    <d v="2023-03-01T00:00:00"/>
    <x v="5"/>
  </r>
  <r>
    <n v="722"/>
    <n v="166551339"/>
    <s v="Director"/>
    <x v="2"/>
    <s v="Xiogenix"/>
    <x v="2"/>
    <x v="9"/>
    <x v="0"/>
    <x v="675"/>
    <d v="2023-04-28T00:00:00"/>
    <x v="6"/>
  </r>
  <r>
    <n v="723"/>
    <n v="166552613"/>
    <s v="Manager"/>
    <x v="0"/>
    <s v="BioLife Solutions"/>
    <x v="0"/>
    <x v="15"/>
    <x v="0"/>
    <x v="676"/>
    <d v="2023-03-01T00:00:00"/>
    <x v="5"/>
  </r>
  <r>
    <n v="724"/>
    <n v="166552645"/>
    <s v="Director"/>
    <x v="2"/>
    <s v="Charles River Laboratories"/>
    <x v="0"/>
    <x v="15"/>
    <x v="0"/>
    <x v="677"/>
    <d v="2023-03-01T00:00:00"/>
    <x v="4"/>
  </r>
  <r>
    <n v="725"/>
    <n v="166552655"/>
    <s v="Director"/>
    <x v="2"/>
    <s v="BMS"/>
    <x v="7"/>
    <x v="15"/>
    <x v="0"/>
    <x v="678"/>
    <d v="2023-03-01T00:00:00"/>
    <x v="5"/>
  </r>
  <r>
    <n v="726"/>
    <n v="169597363"/>
    <s v="Manager"/>
    <x v="0"/>
    <s v="Pall Corporation"/>
    <x v="0"/>
    <x v="17"/>
    <x v="1"/>
    <x v="679"/>
    <d v="2022-12-20T00:00:00"/>
    <x v="7"/>
  </r>
  <r>
    <n v="727"/>
    <n v="143060854"/>
    <s v="Manager"/>
    <x v="0"/>
    <s v="Touchlight DNA Services"/>
    <x v="0"/>
    <x v="17"/>
    <x v="1"/>
    <x v="680"/>
    <d v="2023-03-12T00:00:00"/>
    <x v="6"/>
  </r>
  <r>
    <n v="728"/>
    <n v="166552643"/>
    <s v="Senior Director of Business Development"/>
    <x v="7"/>
    <s v="BioCentriq"/>
    <x v="0"/>
    <x v="15"/>
    <x v="0"/>
    <x v="681"/>
    <d v="2023-03-01T00:00:00"/>
    <x v="5"/>
  </r>
  <r>
    <n v="729"/>
    <n v="168100964"/>
    <s v="C-suite"/>
    <x v="1"/>
    <s v="Clear Innovation"/>
    <x v="2"/>
    <x v="15"/>
    <x v="0"/>
    <x v="682"/>
    <d v="2022-12-08T00:00:00"/>
    <x v="4"/>
  </r>
  <r>
    <n v="730"/>
    <n v="164687217"/>
    <s v="Director"/>
    <x v="2"/>
    <s v="Center for Breakthrough Medicines"/>
    <x v="0"/>
    <x v="15"/>
    <x v="0"/>
    <x v="683"/>
    <d v="2023-03-01T00:00:00"/>
    <x v="4"/>
  </r>
  <r>
    <n v="731"/>
    <n v="166551445"/>
    <s v="VP Passive Systems Innovation"/>
    <x v="3"/>
    <s v="CSafe"/>
    <x v="0"/>
    <x v="15"/>
    <x v="0"/>
    <x v="684"/>
    <d v="2022-12-23T00:00:00"/>
    <x v="4"/>
  </r>
  <r>
    <n v="732"/>
    <n v="166843905"/>
    <s v="Manager"/>
    <x v="0"/>
    <s v="Texcell-North America"/>
    <x v="0"/>
    <x v="17"/>
    <x v="1"/>
    <x v="685"/>
    <d v="2023-02-02T00:00:00"/>
    <x v="8"/>
  </r>
  <r>
    <n v="733"/>
    <n v="166551311"/>
    <s v="C-suite"/>
    <x v="1"/>
    <s v="Yposkesi"/>
    <x v="0"/>
    <x v="9"/>
    <x v="0"/>
    <x v="686"/>
    <d v="2023-05-02T00:00:00"/>
    <x v="6"/>
  </r>
  <r>
    <n v="734"/>
    <n v="166551337"/>
    <s v="VP  sales"/>
    <x v="3"/>
    <s v="Yposkesi"/>
    <x v="0"/>
    <x v="9"/>
    <x v="0"/>
    <x v="687"/>
    <d v="2023-05-05T00:00:00"/>
    <x v="6"/>
  </r>
  <r>
    <n v="735"/>
    <n v="166551321"/>
    <s v="Manager"/>
    <x v="0"/>
    <s v="Yposkesi"/>
    <x v="0"/>
    <x v="9"/>
    <x v="0"/>
    <x v="688"/>
    <d v="2023-05-04T00:00:00"/>
    <x v="6"/>
  </r>
  <r>
    <n v="736"/>
    <n v="166552597"/>
    <s v="Sales"/>
    <x v="4"/>
    <s v="Corning Life Sciences "/>
    <x v="0"/>
    <x v="15"/>
    <x v="0"/>
    <x v="689"/>
    <d v="2022-12-15T00:00:00"/>
    <x v="4"/>
  </r>
  <r>
    <n v="737"/>
    <n v="168101006"/>
    <s v="Director"/>
    <x v="2"/>
    <s v="G-CON"/>
    <x v="0"/>
    <x v="15"/>
    <x v="0"/>
    <x v="690"/>
    <d v="2023-03-05T00:00:00"/>
    <x v="4"/>
  </r>
  <r>
    <n v="738"/>
    <n v="168098585"/>
    <s v="Manager"/>
    <x v="0"/>
    <s v="Genesis BPS"/>
    <x v="0"/>
    <x v="10"/>
    <x v="3"/>
    <x v="691"/>
    <d v="2023-03-09T00:00:00"/>
    <x v="7"/>
  </r>
  <r>
    <n v="739"/>
    <n v="153141131"/>
    <s v="C-suite"/>
    <x v="1"/>
    <s v="Nanite"/>
    <x v="2"/>
    <x v="17"/>
    <x v="1"/>
    <x v="692"/>
    <d v="2022-12-09T00:00:00"/>
    <x v="7"/>
  </r>
  <r>
    <n v="740"/>
    <n v="166553395"/>
    <s v="Manager"/>
    <x v="0"/>
    <s v="Azenta Life Sciences"/>
    <x v="0"/>
    <x v="15"/>
    <x v="0"/>
    <x v="693"/>
    <d v="2023-03-01T00:00:00"/>
    <x v="5"/>
  </r>
  <r>
    <n v="741"/>
    <n v="166551341"/>
    <s v="Director"/>
    <x v="2"/>
    <s v="Warburg Pincus"/>
    <x v="1"/>
    <x v="9"/>
    <x v="0"/>
    <x v="694"/>
    <d v="2023-04-17T00:00:00"/>
    <x v="6"/>
  </r>
  <r>
    <n v="742"/>
    <n v="169597198"/>
    <s v="Director"/>
    <x v="2"/>
    <s v="National Center for Therapeutics Manufacturing"/>
    <x v="2"/>
    <x v="17"/>
    <x v="1"/>
    <x v="695"/>
    <d v="2022-12-10T00:00:00"/>
    <x v="7"/>
  </r>
  <r>
    <n v="743"/>
    <n v="168100958"/>
    <s v="Field Application Scientist"/>
    <x v="4"/>
    <s v="Corning Life Sciences "/>
    <x v="0"/>
    <x v="15"/>
    <x v="0"/>
    <x v="696"/>
    <d v="2022-12-13T00:00:00"/>
    <x v="4"/>
  </r>
  <r>
    <n v="744"/>
    <n v="168100994"/>
    <s v="Field Application Scientist"/>
    <x v="4"/>
    <s v="Corning Life Sciences "/>
    <x v="0"/>
    <x v="15"/>
    <x v="0"/>
    <x v="697"/>
    <d v="2022-12-14T00:00:00"/>
    <x v="4"/>
  </r>
  <r>
    <n v="745"/>
    <n v="166841915"/>
    <s v="Director"/>
    <x v="2"/>
    <s v="Cellipont Bioservices"/>
    <x v="0"/>
    <x v="15"/>
    <x v="0"/>
    <x v="698"/>
    <d v="2023-03-01T00:00:00"/>
    <x v="4"/>
  </r>
  <r>
    <n v="746"/>
    <n v="166552667"/>
    <s v="Director"/>
    <x v="2"/>
    <s v="Center for Breakthrough Medicines"/>
    <x v="0"/>
    <x v="15"/>
    <x v="0"/>
    <x v="699"/>
    <d v="2023-03-01T00:00:00"/>
    <x v="4"/>
  </r>
  <r>
    <n v="747"/>
    <n v="157993028"/>
    <s v="Senior Director Viral Vector Process Development"/>
    <x v="7"/>
    <s v="Center for Breakthrough Medicines"/>
    <x v="0"/>
    <x v="15"/>
    <x v="0"/>
    <x v="700"/>
    <d v="2023-03-01T00:00:00"/>
    <x v="4"/>
  </r>
  <r>
    <n v="748"/>
    <n v="168100295"/>
    <s v="Product Manger"/>
    <x v="0"/>
    <s v="Thermo Fisher Scientific"/>
    <x v="0"/>
    <x v="17"/>
    <x v="1"/>
    <x v="701"/>
    <d v="2023-02-19T00:00:00"/>
    <x v="8"/>
  </r>
  <r>
    <n v="749"/>
    <n v="168099662"/>
    <s v="Director"/>
    <x v="2"/>
    <m/>
    <x v="0"/>
    <x v="17"/>
    <x v="1"/>
    <x v="702"/>
    <d v="2023-02-20T00:00:00"/>
    <x v="8"/>
  </r>
  <r>
    <n v="750"/>
    <n v="169597483"/>
    <s v="Director"/>
    <x v="2"/>
    <s v="Dana-Farber Cancer Institute"/>
    <x v="3"/>
    <x v="15"/>
    <x v="0"/>
    <x v="703"/>
    <d v="2023-01-02T00:00:00"/>
    <x v="4"/>
  </r>
  <r>
    <n v="751"/>
    <n v="166842983"/>
    <s v="Senior Director  Business Development"/>
    <x v="7"/>
    <s v="Vitalant"/>
    <x v="0"/>
    <x v="9"/>
    <x v="0"/>
    <x v="704"/>
    <d v="2023-04-13T00:00:00"/>
    <x v="6"/>
  </r>
  <r>
    <n v="752"/>
    <n v="166842985"/>
    <s v="C-suite"/>
    <x v="1"/>
    <s v="Vita Therapeutics"/>
    <x v="4"/>
    <x v="9"/>
    <x v="0"/>
    <x v="705"/>
    <d v="2023-04-11T00:00:00"/>
    <x v="6"/>
  </r>
  <r>
    <n v="753"/>
    <n v="166842993"/>
    <s v="C-suite"/>
    <x v="1"/>
    <s v="Vita Therapeutics"/>
    <x v="4"/>
    <x v="9"/>
    <x v="0"/>
    <x v="706"/>
    <d v="2023-04-12T00:00:00"/>
    <x v="6"/>
  </r>
  <r>
    <n v="754"/>
    <n v="166551343"/>
    <s v="Senior Director of Solution Architecture for Biotherapies"/>
    <x v="7"/>
    <s v="WellSky "/>
    <x v="0"/>
    <x v="9"/>
    <x v="0"/>
    <x v="707"/>
    <d v="2023-04-21T00:00:00"/>
    <x v="6"/>
  </r>
  <r>
    <n v="755"/>
    <n v="166841787"/>
    <s v="Senior Cell Processing Specialist"/>
    <x v="7"/>
    <s v="Gift of Life Biologics"/>
    <x v="10"/>
    <x v="10"/>
    <x v="3"/>
    <x v="708"/>
    <d v="2023-01-10T00:00:00"/>
    <x v="7"/>
  </r>
  <r>
    <n v="756"/>
    <n v="166842987"/>
    <s v="C-suite"/>
    <x v="1"/>
    <s v="VIVEbiotech"/>
    <x v="4"/>
    <x v="9"/>
    <x v="0"/>
    <x v="709"/>
    <d v="2023-04-14T00:00:00"/>
    <x v="6"/>
  </r>
  <r>
    <n v="757"/>
    <n v="166551335"/>
    <s v="Associate"/>
    <x v="8"/>
    <s v="Warburg Pincus"/>
    <x v="1"/>
    <x v="9"/>
    <x v="0"/>
    <x v="710"/>
    <d v="2023-04-16T00:00:00"/>
    <x v="6"/>
  </r>
  <r>
    <n v="758"/>
    <n v="166549159"/>
    <s v="Manager"/>
    <x v="0"/>
    <s v="AST"/>
    <x v="0"/>
    <x v="15"/>
    <x v="0"/>
    <x v="711"/>
    <d v="2023-03-01T00:00:00"/>
    <x v="5"/>
  </r>
  <r>
    <n v="759"/>
    <n v="166549277"/>
    <s v="Manager"/>
    <x v="0"/>
    <s v="Watson-Marlow"/>
    <x v="0"/>
    <x v="9"/>
    <x v="0"/>
    <x v="712"/>
    <d v="2023-04-18T00:00:00"/>
    <x v="6"/>
  </r>
  <r>
    <n v="760"/>
    <n v="166551329"/>
    <s v="Senior Director of Solution Architecture for Biotherapies"/>
    <x v="7"/>
    <s v="WellSky "/>
    <x v="0"/>
    <x v="9"/>
    <x v="0"/>
    <x v="713"/>
    <d v="2023-04-22T00:00:00"/>
    <x v="6"/>
  </r>
  <r>
    <n v="761"/>
    <n v="166549157"/>
    <m/>
    <x v="6"/>
    <s v="Association for the Advancement of Blood and Biotherapies (AABB)"/>
    <x v="3"/>
    <x v="15"/>
    <x v="0"/>
    <x v="714"/>
    <d v="2023-03-01T00:00:00"/>
    <x v="5"/>
  </r>
  <r>
    <n v="762"/>
    <n v="166842811"/>
    <s v="Director"/>
    <x v="2"/>
    <s v="AST"/>
    <x v="0"/>
    <x v="15"/>
    <x v="0"/>
    <x v="715"/>
    <d v="2023-03-01T00:00:00"/>
    <x v="5"/>
  </r>
  <r>
    <n v="763"/>
    <n v="166549265"/>
    <s v="Global Head, Digitization"/>
    <x v="5"/>
    <m/>
    <x v="2"/>
    <x v="9"/>
    <x v="0"/>
    <x v="716"/>
    <d v="2023-04-06T00:00:00"/>
    <x v="6"/>
  </r>
  <r>
    <n v="764"/>
    <n v="168101021"/>
    <s v="Manager"/>
    <x v="0"/>
    <s v="Ecolab"/>
    <x v="2"/>
    <x v="15"/>
    <x v="0"/>
    <x v="717"/>
    <d v="2023-01-21T00:00:00"/>
    <x v="4"/>
  </r>
  <r>
    <n v="765"/>
    <n v="166843609"/>
    <s v="Director"/>
    <x v="2"/>
    <s v="Terumo Blood and Cell Technologies"/>
    <x v="0"/>
    <x v="17"/>
    <x v="1"/>
    <x v="718"/>
    <d v="2023-01-22T00:00:00"/>
    <x v="7"/>
  </r>
  <r>
    <n v="766"/>
    <n v="166843611"/>
    <s v="Manager"/>
    <x v="0"/>
    <s v="Terumo Blood and Cell Technologies"/>
    <x v="0"/>
    <x v="17"/>
    <x v="1"/>
    <x v="719"/>
    <d v="2023-01-23T00:00:00"/>
    <x v="7"/>
  </r>
  <r>
    <n v="767"/>
    <n v="166842313"/>
    <s v="Head of Cellular Therapy"/>
    <x v="5"/>
    <s v="Invetech"/>
    <x v="0"/>
    <x v="15"/>
    <x v="0"/>
    <x v="720"/>
    <d v="2023-02-03T00:00:00"/>
    <x v="7"/>
  </r>
  <r>
    <n v="768"/>
    <n v="166842315"/>
    <s v="Director"/>
    <x v="2"/>
    <s v="Invetech"/>
    <x v="0"/>
    <x v="15"/>
    <x v="0"/>
    <x v="721"/>
    <d v="2023-02-05T00:00:00"/>
    <x v="7"/>
  </r>
  <r>
    <n v="769"/>
    <n v="166842327"/>
    <s v="Application Scientist"/>
    <x v="4"/>
    <s v="Invetech"/>
    <x v="0"/>
    <x v="15"/>
    <x v="0"/>
    <x v="722"/>
    <d v="2023-02-07T00:00:00"/>
    <x v="7"/>
  </r>
  <r>
    <n v="770"/>
    <n v="166843335"/>
    <s v="Director"/>
    <x v="2"/>
    <s v="Forge Biologics"/>
    <x v="4"/>
    <x v="15"/>
    <x v="0"/>
    <x v="723"/>
    <d v="2023-02-11T00:00:00"/>
    <x v="4"/>
  </r>
  <r>
    <n v="771"/>
    <n v="166842325"/>
    <s v="Head of Business Development"/>
    <x v="5"/>
    <s v="Invetech"/>
    <x v="0"/>
    <x v="15"/>
    <x v="0"/>
    <x v="724"/>
    <d v="2023-02-04T00:00:00"/>
    <x v="7"/>
  </r>
  <r>
    <n v="772"/>
    <n v="166842305"/>
    <s v="Manager"/>
    <x v="0"/>
    <s v="Invetech"/>
    <x v="0"/>
    <x v="15"/>
    <x v="0"/>
    <x v="725"/>
    <d v="2023-02-06T00:00:00"/>
    <x v="7"/>
  </r>
  <r>
    <n v="773"/>
    <n v="166842333"/>
    <s v="C-suite"/>
    <x v="1"/>
    <s v="Invetech"/>
    <x v="0"/>
    <x v="15"/>
    <x v="0"/>
    <x v="726"/>
    <d v="2023-02-08T00:00:00"/>
    <x v="7"/>
  </r>
  <r>
    <n v="774"/>
    <n v="166552687"/>
    <s v="Senior VP Chief Science Officer"/>
    <x v="7"/>
    <s v="BioBridge Global"/>
    <x v="0"/>
    <x v="15"/>
    <x v="0"/>
    <x v="727"/>
    <d v="2023-03-01T00:00:00"/>
    <x v="5"/>
  </r>
  <r>
    <n v="775"/>
    <n v="166552675"/>
    <s v="Senior Scientific Advisor"/>
    <x v="7"/>
    <s v="Charles River "/>
    <x v="0"/>
    <x v="15"/>
    <x v="0"/>
    <x v="728"/>
    <d v="2023-03-01T00:00:00"/>
    <x v="4"/>
  </r>
  <r>
    <n v="776"/>
    <n v="143030092"/>
    <s v="Vertex Pharmaceuticals, Inc"/>
    <x v="4"/>
    <s v="Vertex Pharmaceutical "/>
    <x v="4"/>
    <x v="17"/>
    <x v="1"/>
    <x v="729"/>
    <d v="2023-03-16T00:00:00"/>
    <x v="6"/>
  </r>
  <r>
    <n v="777"/>
    <n v="166842301"/>
    <s v="VP Commercial"/>
    <x v="3"/>
    <s v="Invetech"/>
    <x v="0"/>
    <x v="15"/>
    <x v="0"/>
    <x v="730"/>
    <d v="2023-02-02T00:00:00"/>
    <x v="7"/>
  </r>
  <r>
    <n v="778"/>
    <n v="166551655"/>
    <s v="Director"/>
    <x v="2"/>
    <s v="NMDP Be The Match"/>
    <x v="0"/>
    <x v="17"/>
    <x v="1"/>
    <x v="731"/>
    <d v="2022-12-14T00:00:00"/>
    <x v="7"/>
  </r>
  <r>
    <n v="779"/>
    <n v="157994262"/>
    <s v="Director"/>
    <x v="2"/>
    <s v="Charles River"/>
    <x v="0"/>
    <x v="15"/>
    <x v="0"/>
    <x v="732"/>
    <d v="2023-03-01T00:00:00"/>
    <x v="4"/>
  </r>
  <r>
    <n v="780"/>
    <n v="159068828"/>
    <s v="Director"/>
    <x v="2"/>
    <s v="Charles River"/>
    <x v="0"/>
    <x v="15"/>
    <x v="0"/>
    <x v="733"/>
    <d v="2023-03-01T00:00:00"/>
    <x v="4"/>
  </r>
  <r>
    <n v="781"/>
    <n v="166549161"/>
    <s v="Manager"/>
    <x v="0"/>
    <s v="Catalent Cell Gene Therapy"/>
    <x v="0"/>
    <x v="15"/>
    <x v="0"/>
    <x v="734"/>
    <d v="2023-03-01T00:00:00"/>
    <x v="4"/>
  </r>
  <r>
    <n v="782"/>
    <n v="168101048"/>
    <s v="Senior Director Business Development and Marketing"/>
    <x v="7"/>
    <s v="Dendreon"/>
    <x v="4"/>
    <x v="15"/>
    <x v="0"/>
    <x v="735"/>
    <d v="2023-01-16T00:00:00"/>
    <x v="4"/>
  </r>
  <r>
    <n v="783"/>
    <n v="168101036"/>
    <s v="Business development"/>
    <x v="4"/>
    <s v="DeSpir Logistics"/>
    <x v="2"/>
    <x v="15"/>
    <x v="0"/>
    <x v="736"/>
    <d v="2023-01-18T00:00:00"/>
    <x v="4"/>
  </r>
  <r>
    <n v="784"/>
    <n v="168100967"/>
    <s v="Managing Partner"/>
    <x v="4"/>
    <s v="Despir Logistics"/>
    <x v="2"/>
    <x v="15"/>
    <x v="0"/>
    <x v="737"/>
    <d v="2023-01-17T00:00:00"/>
    <x v="4"/>
  </r>
  <r>
    <n v="785"/>
    <n v="166549163"/>
    <s v="Director"/>
    <x v="2"/>
    <s v="Carisma Therapeutics"/>
    <x v="4"/>
    <x v="15"/>
    <x v="0"/>
    <x v="738"/>
    <d v="2023-03-01T00:00:00"/>
    <x v="4"/>
  </r>
  <r>
    <n v="786"/>
    <n v="166551731"/>
    <m/>
    <x v="6"/>
    <s v="Thermo Fisher Scientific"/>
    <x v="0"/>
    <x v="17"/>
    <x v="1"/>
    <x v="739"/>
    <d v="2023-02-08T00:00:00"/>
    <x v="8"/>
  </r>
  <r>
    <n v="787"/>
    <n v="166551787"/>
    <s v="Manager"/>
    <x v="0"/>
    <s v="Viralgen Vector Core"/>
    <x v="2"/>
    <x v="9"/>
    <x v="0"/>
    <x v="740"/>
    <d v="2023-03-29T00:00:00"/>
    <x v="6"/>
  </r>
  <r>
    <n v="788"/>
    <n v="168098396"/>
    <s v="Senior Director Clinical Development"/>
    <x v="7"/>
    <s v="Forge Biologics"/>
    <x v="4"/>
    <x v="15"/>
    <x v="0"/>
    <x v="741"/>
    <d v="2023-02-12T00:00:00"/>
    <x v="4"/>
  </r>
  <r>
    <n v="789"/>
    <n v="166842307"/>
    <s v="Senior  Director CMC Commercial Strategy"/>
    <x v="7"/>
    <s v="Immatics"/>
    <x v="4"/>
    <x v="15"/>
    <x v="0"/>
    <x v="742"/>
    <d v="2023-01-29T00:00:00"/>
    <x v="7"/>
  </r>
  <r>
    <n v="790"/>
    <n v="171649357"/>
    <s v="VP Process Engineering &amp; Manufacturing"/>
    <x v="3"/>
    <m/>
    <x v="4"/>
    <x v="17"/>
    <x v="1"/>
    <x v="743"/>
    <d v="2023-03-15T00:00:00"/>
    <x v="6"/>
  </r>
  <r>
    <n v="791"/>
    <n v="166551745"/>
    <s v="Senior  Business Development Manager"/>
    <x v="7"/>
    <s v="Thermo Fisher Scientific"/>
    <x v="0"/>
    <x v="17"/>
    <x v="1"/>
    <x v="744"/>
    <d v="2023-02-14T00:00:00"/>
    <x v="8"/>
  </r>
  <r>
    <n v="792"/>
    <n v="166551747"/>
    <s v="Manager"/>
    <x v="0"/>
    <s v="Thermo Fisher Scientific"/>
    <x v="0"/>
    <x v="17"/>
    <x v="1"/>
    <x v="745"/>
    <d v="2023-02-15T00:00:00"/>
    <x v="8"/>
  </r>
  <r>
    <n v="793"/>
    <n v="166551749"/>
    <s v="Senior Regenerative Medicine Technical Specialist"/>
    <x v="7"/>
    <s v="Thermo Fisher Scientific"/>
    <x v="0"/>
    <x v="17"/>
    <x v="1"/>
    <x v="746"/>
    <d v="2023-02-16T00:00:00"/>
    <x v="8"/>
  </r>
  <r>
    <n v="794"/>
    <n v="166551761"/>
    <s v="Senior Staff Scientist, Research and Development"/>
    <x v="7"/>
    <m/>
    <x v="0"/>
    <x v="17"/>
    <x v="1"/>
    <x v="747"/>
    <d v="2023-02-18T00:00:00"/>
    <x v="8"/>
  </r>
  <r>
    <n v="795"/>
    <n v="166843965"/>
    <s v="Manager"/>
    <x v="0"/>
    <s v="Thermo Fisher Scientific"/>
    <x v="0"/>
    <x v="17"/>
    <x v="1"/>
    <x v="748"/>
    <d v="2023-02-17T00:00:00"/>
    <x v="8"/>
  </r>
  <r>
    <n v="796"/>
    <n v="166551751"/>
    <s v="Global Market Development Specialist "/>
    <x v="4"/>
    <s v="Thermo Fisher Scientific"/>
    <x v="0"/>
    <x v="17"/>
    <x v="1"/>
    <x v="749"/>
    <d v="2023-02-13T00:00:00"/>
    <x v="8"/>
  </r>
  <r>
    <n v="797"/>
    <n v="166842283"/>
    <s v="C-suite"/>
    <x v="1"/>
    <s v="Genezen"/>
    <x v="0"/>
    <x v="10"/>
    <x v="3"/>
    <x v="750"/>
    <d v="2023-01-08T00:00:00"/>
    <x v="7"/>
  </r>
  <r>
    <n v="798"/>
    <n v="166551317"/>
    <s v="Director"/>
    <x v="2"/>
    <s v="Xiogenix"/>
    <x v="2"/>
    <x v="9"/>
    <x v="0"/>
    <x v="751"/>
    <d v="2023-04-29T00:00:00"/>
    <x v="6"/>
  </r>
  <r>
    <n v="799"/>
    <n v="166549267"/>
    <s v="Regulatory Affairs"/>
    <x v="4"/>
    <s v="Viralgen Vector Core"/>
    <x v="2"/>
    <x v="9"/>
    <x v="0"/>
    <x v="752"/>
    <d v="2023-04-07T00:00:00"/>
    <x v="6"/>
  </r>
  <r>
    <n v="800"/>
    <n v="166842981"/>
    <s v="C-suite"/>
    <x v="1"/>
    <s v="VisiCELL Medical "/>
    <x v="0"/>
    <x v="9"/>
    <x v="0"/>
    <x v="753"/>
    <d v="2023-04-10T00:00:00"/>
    <x v="6"/>
  </r>
  <r>
    <n v="801"/>
    <n v="166842989"/>
    <s v="Manager"/>
    <x v="0"/>
    <s v="Viralgen Vector Core"/>
    <x v="2"/>
    <x v="9"/>
    <x v="0"/>
    <x v="754"/>
    <d v="2023-04-08T00:00:00"/>
    <x v="6"/>
  </r>
  <r>
    <n v="802"/>
    <n v="166842979"/>
    <s v="Head Down Stream Process Development"/>
    <x v="5"/>
    <s v="Viralgen Vector Core"/>
    <x v="2"/>
    <x v="9"/>
    <x v="0"/>
    <x v="755"/>
    <d v="2023-04-09T00:00:00"/>
    <x v="6"/>
  </r>
  <r>
    <n v="803"/>
    <n v="168100979"/>
    <s v="C-suite"/>
    <x v="1"/>
    <s v="Gamma Biosciences"/>
    <x v="0"/>
    <x v="15"/>
    <x v="0"/>
    <x v="756"/>
    <d v="2023-03-02T00:00:00"/>
    <x v="4"/>
  </r>
  <r>
    <n v="804"/>
    <n v="169596439"/>
    <s v="Director"/>
    <x v="2"/>
    <s v="Genesis BPS"/>
    <x v="0"/>
    <x v="10"/>
    <x v="3"/>
    <x v="757"/>
    <d v="2023-03-10T00:00:00"/>
    <x v="7"/>
  </r>
  <r>
    <n v="805"/>
    <n v="168101063"/>
    <s v="Director"/>
    <x v="2"/>
    <s v="G-CON"/>
    <x v="0"/>
    <x v="10"/>
    <x v="3"/>
    <x v="758"/>
    <d v="2023-03-03T00:00:00"/>
    <x v="4"/>
  </r>
  <r>
    <n v="806"/>
    <n v="166552557"/>
    <s v="VP Biologics Sales  "/>
    <x v="3"/>
    <s v="Charles River Laboratories"/>
    <x v="0"/>
    <x v="15"/>
    <x v="0"/>
    <x v="759"/>
    <d v="2023-03-01T00:00:00"/>
    <x v="4"/>
  </r>
  <r>
    <n v="807"/>
    <n v="166552607"/>
    <s v="VP Medical Services"/>
    <x v="3"/>
    <s v="Be The Match/NMDP"/>
    <x v="0"/>
    <x v="15"/>
    <x v="0"/>
    <x v="760"/>
    <d v="2023-03-01T00:00:00"/>
    <x v="5"/>
  </r>
  <r>
    <n v="808"/>
    <n v="166552599"/>
    <s v="Manager"/>
    <x v="0"/>
    <s v="Be The Match BioTherapies"/>
    <x v="0"/>
    <x v="15"/>
    <x v="0"/>
    <x v="761"/>
    <d v="2023-03-01T00:00:00"/>
    <x v="5"/>
  </r>
  <r>
    <n v="809"/>
    <n v="168100292"/>
    <s v="Director"/>
    <x v="2"/>
    <s v="Thermo Fisher Scientific"/>
    <x v="0"/>
    <x v="17"/>
    <x v="1"/>
    <x v="762"/>
    <d v="2023-03-02T00:00:00"/>
    <x v="6"/>
  </r>
  <r>
    <n v="810"/>
    <n v="166553389"/>
    <s v="Director"/>
    <x v="2"/>
    <s v="BioBridge Global"/>
    <x v="0"/>
    <x v="15"/>
    <x v="0"/>
    <x v="763"/>
    <d v="2023-03-01T00:00:00"/>
    <x v="5"/>
  </r>
  <r>
    <n v="811"/>
    <n v="166557679"/>
    <s v="Director"/>
    <x v="2"/>
    <s v="Be The Match BioTherapies"/>
    <x v="0"/>
    <x v="15"/>
    <x v="0"/>
    <x v="764"/>
    <d v="2023-03-01T00:00:00"/>
    <x v="5"/>
  </r>
  <r>
    <n v="812"/>
    <n v="166553391"/>
    <s v="Manager"/>
    <x v="0"/>
    <s v="Be The Match Biotherapies"/>
    <x v="0"/>
    <x v="15"/>
    <x v="0"/>
    <x v="765"/>
    <d v="2023-03-01T00:00:00"/>
    <x v="5"/>
  </r>
  <r>
    <n v="813"/>
    <n v="166552577"/>
    <s v="Senior VP Business Development"/>
    <x v="7"/>
    <s v="BioBridge Global"/>
    <x v="0"/>
    <x v="15"/>
    <x v="0"/>
    <x v="766"/>
    <d v="2023-03-01T00:00:00"/>
    <x v="5"/>
  </r>
  <r>
    <n v="814"/>
    <n v="166552571"/>
    <s v="VP Cell Therapy Manufacturing"/>
    <x v="3"/>
    <s v="Bellicum Pharmaceuticals"/>
    <x v="4"/>
    <x v="15"/>
    <x v="0"/>
    <x v="767"/>
    <d v="2023-03-01T00:00:00"/>
    <x v="5"/>
  </r>
  <r>
    <n v="815"/>
    <n v="143039620"/>
    <s v="Director"/>
    <x v="2"/>
    <s v="MAK-SYSTEM"/>
    <x v="0"/>
    <x v="1"/>
    <x v="0"/>
    <x v="768"/>
    <d v="2023-03-01T00:00:00"/>
    <x v="7"/>
  </r>
  <r>
    <n v="816"/>
    <n v="170997232"/>
    <s v="C-suite"/>
    <x v="1"/>
    <s v="MAK-SYSTEM"/>
    <x v="0"/>
    <x v="1"/>
    <x v="0"/>
    <x v="769"/>
    <d v="2023-03-01T00:00:00"/>
    <x v="7"/>
  </r>
  <r>
    <n v="817"/>
    <n v="171635518"/>
    <s v="Director"/>
    <x v="2"/>
    <s v="Aspen Neuroscience"/>
    <x v="4"/>
    <x v="15"/>
    <x v="0"/>
    <x v="770"/>
    <d v="2023-03-01T00:00:00"/>
    <x v="5"/>
  </r>
  <r>
    <n v="818"/>
    <n v="166551791"/>
    <m/>
    <x v="6"/>
    <s v="Viralgen Vector Core"/>
    <x v="2"/>
    <x v="9"/>
    <x v="0"/>
    <x v="771"/>
    <d v="2023-03-30T00:00:00"/>
    <x v="6"/>
  </r>
  <r>
    <n v="819"/>
    <n v="166841413"/>
    <s v="Senior Vice President, Technical Operations"/>
    <x v="7"/>
    <s v="AmplifyBio"/>
    <x v="2"/>
    <x v="15"/>
    <x v="0"/>
    <x v="772"/>
    <d v="2023-03-01T00:00:00"/>
    <x v="3"/>
  </r>
  <r>
    <n v="820"/>
    <n v="166552575"/>
    <s v="Strategic Sourcing &amp; Procurement"/>
    <x v="4"/>
    <s v="Bristol Myers Squibb"/>
    <x v="7"/>
    <x v="15"/>
    <x v="0"/>
    <x v="773"/>
    <d v="2023-03-01T00:00:00"/>
    <x v="5"/>
  </r>
  <r>
    <n v="821"/>
    <n v="166552669"/>
    <s v="Manager"/>
    <x v="0"/>
    <s v="Bristol Myers Squibb"/>
    <x v="7"/>
    <x v="15"/>
    <x v="0"/>
    <x v="773"/>
    <d v="2023-03-01T00:00:00"/>
    <x v="5"/>
  </r>
  <r>
    <n v="822"/>
    <n v="166843617"/>
    <s v="Manager"/>
    <x v="0"/>
    <s v="Terumo Blood and Cell Technologies"/>
    <x v="0"/>
    <x v="17"/>
    <x v="1"/>
    <x v="774"/>
    <d v="2023-01-21T00:00:00"/>
    <x v="7"/>
  </r>
  <r>
    <n v="823"/>
    <n v="168101057"/>
    <s v="Manager"/>
    <x v="0"/>
    <s v="Corning orporated"/>
    <x v="0"/>
    <x v="15"/>
    <x v="0"/>
    <x v="775"/>
    <d v="2023-03-01T00:00:00"/>
    <x v="4"/>
  </r>
  <r>
    <n v="824"/>
    <n v="166551785"/>
    <s v="C-suite"/>
    <x v="1"/>
    <s v="VGXI"/>
    <x v="0"/>
    <x v="9"/>
    <x v="0"/>
    <x v="776"/>
    <d v="2023-03-28T00:00:00"/>
    <x v="6"/>
  </r>
  <r>
    <n v="825"/>
    <n v="166552691"/>
    <s v="Director"/>
    <x v="2"/>
    <s v="Caring Cross"/>
    <x v="2"/>
    <x v="15"/>
    <x v="0"/>
    <x v="777"/>
    <d v="2023-03-01T00:00:00"/>
    <x v="4"/>
  </r>
  <r>
    <n v="826"/>
    <n v="166842335"/>
    <s v="Managing Partner"/>
    <x v="4"/>
    <s v="Global OT/IT Quality Services"/>
    <x v="0"/>
    <x v="15"/>
    <x v="0"/>
    <x v="778"/>
    <d v="2023-01-19T00:00:00"/>
    <x v="7"/>
  </r>
  <r>
    <n v="827"/>
    <n v="166551433"/>
    <s v="Associate"/>
    <x v="8"/>
    <s v="CRISPR Therapeutics"/>
    <x v="4"/>
    <x v="15"/>
    <x v="0"/>
    <x v="779"/>
    <d v="2022-12-18T00:00:00"/>
    <x v="4"/>
  </r>
  <r>
    <n v="828"/>
    <n v="166841425"/>
    <s v="Senior Director of Sales and Strategic Partnerships"/>
    <x v="7"/>
    <s v="Andelyn Biosciences"/>
    <x v="0"/>
    <x v="15"/>
    <x v="0"/>
    <x v="780"/>
    <d v="2023-03-01T00:00:00"/>
    <x v="3"/>
  </r>
  <r>
    <n v="829"/>
    <n v="166841421"/>
    <s v="Senior Director of Sales and Strategic Partnerships"/>
    <x v="7"/>
    <s v="Andelyn Biosciences"/>
    <x v="0"/>
    <x v="15"/>
    <x v="0"/>
    <x v="781"/>
    <d v="2023-03-17T00:00:00"/>
    <x v="3"/>
  </r>
  <r>
    <n v="830"/>
    <n v="166841411"/>
    <s v="Head of Process Development"/>
    <x v="5"/>
    <s v="Andelyn Biosciences"/>
    <x v="0"/>
    <x v="15"/>
    <x v="0"/>
    <x v="782"/>
    <d v="2023-03-25T00:00:00"/>
    <x v="3"/>
  </r>
  <r>
    <n v="831"/>
    <n v="166841431"/>
    <s v="Manager"/>
    <x v="0"/>
    <s v="Andelyn Biosciences"/>
    <x v="0"/>
    <x v="15"/>
    <x v="0"/>
    <x v="783"/>
    <d v="2023-03-01T00:00:00"/>
    <x v="3"/>
  </r>
  <r>
    <n v="832"/>
    <n v="166841419"/>
    <s v="Director"/>
    <x v="2"/>
    <s v="AmplifyBio"/>
    <x v="2"/>
    <x v="15"/>
    <x v="0"/>
    <x v="784"/>
    <d v="2023-03-01T00:00:00"/>
    <x v="3"/>
  </r>
  <r>
    <n v="833"/>
    <n v="166551793"/>
    <s v="Manager"/>
    <x v="0"/>
    <s v="Viralgen Vector Core"/>
    <x v="2"/>
    <x v="9"/>
    <x v="0"/>
    <x v="785"/>
    <d v="2023-03-31T00:00:00"/>
    <x v="6"/>
  </r>
  <r>
    <n v="834"/>
    <n v="166549269"/>
    <s v="Qualified Person"/>
    <x v="4"/>
    <s v="Viralgen Vector Core"/>
    <x v="2"/>
    <x v="9"/>
    <x v="0"/>
    <x v="786"/>
    <d v="2023-04-05T00:00:00"/>
    <x v="6"/>
  </r>
  <r>
    <n v="835"/>
    <n v="168100949"/>
    <s v="VP Head of Innovation"/>
    <x v="3"/>
    <s v="Danaher Corporation"/>
    <x v="2"/>
    <x v="15"/>
    <x v="0"/>
    <x v="787"/>
    <d v="2023-01-04T00:00:00"/>
    <x v="4"/>
  </r>
  <r>
    <n v="836"/>
    <n v="166841741"/>
    <s v="Director"/>
    <x v="2"/>
    <s v="Catalent Cell Gene Therapy"/>
    <x v="0"/>
    <x v="15"/>
    <x v="0"/>
    <x v="788"/>
    <d v="2023-03-01T00:00:00"/>
    <x v="4"/>
  </r>
  <r>
    <n v="837"/>
    <n v="166843383"/>
    <m/>
    <x v="6"/>
    <s v="Kite Pharma"/>
    <x v="7"/>
    <x v="10"/>
    <x v="3"/>
    <x v="789"/>
    <d v="2023-03-01T00:00:00"/>
    <x v="7"/>
  </r>
  <r>
    <n v="838"/>
    <n v="166843585"/>
    <m/>
    <x v="6"/>
    <s v="Janssen Pharmaceuticals"/>
    <x v="7"/>
    <x v="1"/>
    <x v="0"/>
    <x v="790"/>
    <d v="2023-03-01T00:00:00"/>
    <x v="7"/>
  </r>
  <r>
    <n v="839"/>
    <n v="166841735"/>
    <s v="VP Product Development"/>
    <x v="3"/>
    <s v="Catalent Cell Gene Therapy"/>
    <x v="0"/>
    <x v="15"/>
    <x v="0"/>
    <x v="791"/>
    <d v="2023-03-01T00:00:00"/>
    <x v="4"/>
  </r>
  <r>
    <n v="840"/>
    <n v="166843591"/>
    <s v="Director"/>
    <x v="2"/>
    <s v="IQVIA "/>
    <x v="0"/>
    <x v="1"/>
    <x v="0"/>
    <x v="792"/>
    <d v="2023-03-01T00:00:00"/>
    <x v="7"/>
  </r>
  <r>
    <n v="841"/>
    <n v="166843587"/>
    <m/>
    <x v="6"/>
    <s v="Jefferson Institute for Bioprocessing"/>
    <x v="2"/>
    <x v="1"/>
    <x v="0"/>
    <x v="793"/>
    <d v="2023-03-01T00:00:00"/>
    <x v="7"/>
  </r>
  <r>
    <n v="842"/>
    <n v="169597357"/>
    <s v="Senior Advisor Data Science and Statistics"/>
    <x v="7"/>
    <s v="PharmaLex US"/>
    <x v="0"/>
    <x v="17"/>
    <x v="1"/>
    <x v="794"/>
    <d v="2022-12-28T00:00:00"/>
    <x v="7"/>
  </r>
  <r>
    <n v="843"/>
    <n v="168100862"/>
    <s v="Manager"/>
    <x v="0"/>
    <s v="Thermo Fisher Scientific"/>
    <x v="0"/>
    <x v="17"/>
    <x v="1"/>
    <x v="795"/>
    <d v="2023-03-09T00:00:00"/>
    <x v="6"/>
  </r>
  <r>
    <n v="844"/>
    <n v="166551765"/>
    <s v="Senior Director Research &amp; Development"/>
    <x v="7"/>
    <s v="Thermo Fisher Scientific"/>
    <x v="0"/>
    <x v="17"/>
    <x v="1"/>
    <x v="796"/>
    <d v="2023-03-08T00:00:00"/>
    <x v="6"/>
  </r>
  <r>
    <n v="845"/>
    <n v="166841733"/>
    <s v="C-suite"/>
    <x v="1"/>
    <s v="Catalent Cell Gene Therapy"/>
    <x v="0"/>
    <x v="15"/>
    <x v="0"/>
    <x v="797"/>
    <d v="2023-03-01T00:00:00"/>
    <x v="4"/>
  </r>
  <r>
    <n v="846"/>
    <n v="143031422"/>
    <m/>
    <x v="6"/>
    <s v="Jefferson Institute for Bioprocessing"/>
    <x v="2"/>
    <x v="1"/>
    <x v="0"/>
    <x v="798"/>
    <d v="2023-03-01T00:00:00"/>
    <x v="7"/>
  </r>
  <r>
    <n v="847"/>
    <n v="157993030"/>
    <s v="C-suite"/>
    <x v="1"/>
    <s v="Center for Breakthrough Medicines"/>
    <x v="0"/>
    <x v="15"/>
    <x v="0"/>
    <x v="799"/>
    <d v="2023-03-01T00:00:00"/>
    <x v="4"/>
  </r>
  <r>
    <n v="848"/>
    <n v="143028394"/>
    <s v="VP"/>
    <x v="3"/>
    <s v="Thomas H. Lee Partners"/>
    <x v="1"/>
    <x v="17"/>
    <x v="1"/>
    <x v="800"/>
    <d v="2023-03-11T00:00:00"/>
    <x v="6"/>
  </r>
  <r>
    <n v="849"/>
    <n v="169597129"/>
    <s v="C-suite"/>
    <x v="1"/>
    <s v="Pharmaceutical Technical Solutions"/>
    <x v="0"/>
    <x v="17"/>
    <x v="1"/>
    <x v="801"/>
    <d v="2022-12-27T00:00:00"/>
    <x v="7"/>
  </r>
  <r>
    <n v="850"/>
    <n v="169596475"/>
    <s v="Director"/>
    <x v="2"/>
    <s v="Essent Biologics"/>
    <x v="3"/>
    <x v="15"/>
    <x v="0"/>
    <x v="802"/>
    <d v="2023-02-02T00:00:00"/>
    <x v="4"/>
  </r>
  <r>
    <n v="851"/>
    <n v="166553419"/>
    <s v="C-suite"/>
    <x v="1"/>
    <s v="Exacis Biotherapeutics"/>
    <x v="2"/>
    <x v="15"/>
    <x v="0"/>
    <x v="803"/>
    <d v="2023-02-05T00:00:00"/>
    <x v="4"/>
  </r>
  <r>
    <n v="852"/>
    <n v="166553427"/>
    <s v="Director"/>
    <x v="2"/>
    <s v="Essent Biologics"/>
    <x v="3"/>
    <x v="15"/>
    <x v="0"/>
    <x v="804"/>
    <d v="2023-02-03T00:00:00"/>
    <x v="4"/>
  </r>
  <r>
    <n v="853"/>
    <n v="169596466"/>
    <s v="VP Research &amp; Development"/>
    <x v="3"/>
    <s v="Essent Biologics"/>
    <x v="3"/>
    <x v="15"/>
    <x v="0"/>
    <x v="805"/>
    <d v="2023-02-01T00:00:00"/>
    <x v="4"/>
  </r>
  <r>
    <n v="854"/>
    <n v="169596463"/>
    <s v="Manager"/>
    <x v="0"/>
    <s v="Entegris"/>
    <x v="0"/>
    <x v="15"/>
    <x v="0"/>
    <x v="806"/>
    <d v="2023-01-30T00:00:00"/>
    <x v="4"/>
  </r>
  <r>
    <n v="855"/>
    <n v="166553429"/>
    <s v="Director"/>
    <x v="2"/>
    <s v="Eureka Bio"/>
    <x v="4"/>
    <x v="15"/>
    <x v="0"/>
    <x v="807"/>
    <d v="2023-02-04T00:00:00"/>
    <x v="4"/>
  </r>
  <r>
    <n v="856"/>
    <n v="169596460"/>
    <s v="Director"/>
    <x v="2"/>
    <s v="Entegris"/>
    <x v="0"/>
    <x v="15"/>
    <x v="0"/>
    <x v="808"/>
    <d v="2023-01-29T00:00:00"/>
    <x v="4"/>
  </r>
  <r>
    <n v="857"/>
    <n v="166551459"/>
    <s v="VP Business Operations"/>
    <x v="3"/>
    <s v="Essent Biologics"/>
    <x v="3"/>
    <x v="15"/>
    <x v="0"/>
    <x v="809"/>
    <d v="2023-01-31T00:00:00"/>
    <x v="4"/>
  </r>
  <r>
    <n v="858"/>
    <n v="166551783"/>
    <s v="Manager"/>
    <x v="0"/>
    <s v="Viralgen Vector Core"/>
    <x v="2"/>
    <x v="9"/>
    <x v="0"/>
    <x v="810"/>
    <d v="2023-04-01T00:00:00"/>
    <x v="6"/>
  </r>
  <r>
    <n v="859"/>
    <n v="168100868"/>
    <s v="Manager"/>
    <x v="0"/>
    <s v="Thermo Fisher Scientific"/>
    <x v="0"/>
    <x v="17"/>
    <x v="1"/>
    <x v="811"/>
    <d v="2023-03-06T00:00:00"/>
    <x v="6"/>
  </r>
  <r>
    <n v="860"/>
    <n v="166551743"/>
    <s v="Director"/>
    <x v="2"/>
    <s v="Thermo Fisher Scientific"/>
    <x v="0"/>
    <x v="17"/>
    <x v="1"/>
    <x v="812"/>
    <d v="2023-03-05T00:00:00"/>
    <x v="6"/>
  </r>
  <r>
    <n v="861"/>
    <n v="166842971"/>
    <s v="C-suite"/>
    <x v="1"/>
    <s v="Viralgen Vector Core"/>
    <x v="2"/>
    <x v="9"/>
    <x v="0"/>
    <x v="813"/>
    <d v="2023-04-02T00:00:00"/>
    <x v="6"/>
  </r>
  <r>
    <n v="862"/>
    <n v="157994634"/>
    <s v="Manufacturing Document Specialist"/>
    <x v="4"/>
    <s v="VGXI"/>
    <x v="0"/>
    <x v="17"/>
    <x v="1"/>
    <x v="814"/>
    <d v="2023-03-27T00:00:00"/>
    <x v="6"/>
  </r>
  <r>
    <n v="863"/>
    <n v="166842973"/>
    <s v="VP Business Development"/>
    <x v="3"/>
    <s v="Viralgen Vector Core"/>
    <x v="2"/>
    <x v="9"/>
    <x v="0"/>
    <x v="815"/>
    <d v="2023-04-03T00:00:00"/>
    <x v="6"/>
  </r>
  <r>
    <n v="864"/>
    <n v="166551767"/>
    <s v="Global Subject Matter Expert"/>
    <x v="4"/>
    <s v="Thermo Fisher Scientific"/>
    <x v="0"/>
    <x v="17"/>
    <x v="1"/>
    <x v="816"/>
    <d v="2023-03-07T00:00:00"/>
    <x v="6"/>
  </r>
  <r>
    <n v="865"/>
    <n v="166553435"/>
    <s v="Director"/>
    <x v="2"/>
    <s v="Excellos"/>
    <x v="2"/>
    <x v="15"/>
    <x v="0"/>
    <x v="817"/>
    <d v="2023-02-06T00:00:00"/>
    <x v="4"/>
  </r>
  <r>
    <n v="866"/>
    <n v="168101078"/>
    <s v="VP of Key Accounts &amp; Commercial Strategy "/>
    <x v="3"/>
    <s v="Gamma Biosciences"/>
    <x v="0"/>
    <x v="15"/>
    <x v="0"/>
    <x v="818"/>
    <d v="2023-02-28T00:00:00"/>
    <x v="4"/>
  </r>
  <r>
    <n v="867"/>
    <n v="166549275"/>
    <s v="Sales"/>
    <x v="4"/>
    <s v="Wilco Precision Testers USA"/>
    <x v="2"/>
    <x v="9"/>
    <x v="0"/>
    <x v="819"/>
    <d v="2023-04-23T00:00:00"/>
    <x v="6"/>
  </r>
  <r>
    <n v="868"/>
    <n v="159085420"/>
    <s v="Process Engineer"/>
    <x v="4"/>
    <s v="IPS-Integrated Project Services"/>
    <x v="0"/>
    <x v="1"/>
    <x v="0"/>
    <x v="820"/>
    <d v="2023-03-01T00:00:00"/>
    <x v="7"/>
  </r>
  <r>
    <n v="869"/>
    <n v="166551463"/>
    <s v="Manager"/>
    <x v="0"/>
    <s v="Forge Biologics"/>
    <x v="4"/>
    <x v="15"/>
    <x v="0"/>
    <x v="821"/>
    <d v="2023-02-13T00:00:00"/>
    <x v="4"/>
  </r>
  <r>
    <n v="870"/>
    <n v="166551715"/>
    <s v="Senior Sales"/>
    <x v="7"/>
    <s v="Terumo Blood and Cell Technologies"/>
    <x v="0"/>
    <x v="17"/>
    <x v="1"/>
    <x v="822"/>
    <d v="2023-01-29T00:00:00"/>
    <x v="8"/>
  </r>
  <r>
    <n v="871"/>
    <n v="164639203"/>
    <s v="C-suite"/>
    <x v="1"/>
    <s v="MVE Biological Solutions"/>
    <x v="0"/>
    <x v="17"/>
    <x v="1"/>
    <x v="823"/>
    <d v="2023-03-01T00:00:00"/>
    <x v="7"/>
  </r>
  <r>
    <n v="872"/>
    <n v="166843619"/>
    <s v="Senior Sales"/>
    <x v="7"/>
    <s v="Terumo Blood and Cell Technologies"/>
    <x v="0"/>
    <x v="17"/>
    <x v="1"/>
    <x v="824"/>
    <d v="2023-01-27T00:00:00"/>
    <x v="8"/>
  </r>
  <r>
    <n v="873"/>
    <n v="143069392"/>
    <s v="Director"/>
    <x v="2"/>
    <s v="IPS-Integrated Project Services"/>
    <x v="0"/>
    <x v="1"/>
    <x v="0"/>
    <x v="825"/>
    <d v="2023-03-01T00:00:00"/>
    <x v="7"/>
  </r>
  <r>
    <n v="874"/>
    <n v="166549205"/>
    <s v="Director"/>
    <x v="2"/>
    <s v="IPS-Integrated Project Services"/>
    <x v="0"/>
    <x v="1"/>
    <x v="0"/>
    <x v="826"/>
    <d v="2023-03-01T00:00:00"/>
    <x v="7"/>
  </r>
  <r>
    <n v="875"/>
    <n v="166843393"/>
    <s v="Associate"/>
    <x v="8"/>
    <s v="IPS-Integrated Project Services"/>
    <x v="0"/>
    <x v="1"/>
    <x v="0"/>
    <x v="827"/>
    <d v="2023-03-01T00:00:00"/>
    <x v="7"/>
  </r>
  <r>
    <n v="876"/>
    <n v="166549197"/>
    <s v="Senior Director Strategic Initiatives"/>
    <x v="7"/>
    <s v="IPS-Integrated Project Services"/>
    <x v="0"/>
    <x v="1"/>
    <x v="0"/>
    <x v="828"/>
    <d v="2023-03-01T00:00:00"/>
    <x v="7"/>
  </r>
  <r>
    <n v="877"/>
    <n v="166551481"/>
    <s v="VP"/>
    <x v="3"/>
    <s v="Linden Capital Partners"/>
    <x v="1"/>
    <x v="1"/>
    <x v="0"/>
    <x v="829"/>
    <d v="2023-03-01T00:00:00"/>
    <x v="7"/>
  </r>
  <r>
    <n v="878"/>
    <n v="166549967"/>
    <s v="C-suite"/>
    <x v="1"/>
    <s v="Kyverna Therapeutics"/>
    <x v="2"/>
    <x v="1"/>
    <x v="0"/>
    <x v="830"/>
    <d v="2023-03-01T00:00:00"/>
    <x v="7"/>
  </r>
  <r>
    <n v="879"/>
    <n v="166551475"/>
    <s v="C-suite"/>
    <x v="1"/>
    <s v="Lexden Capital"/>
    <x v="2"/>
    <x v="1"/>
    <x v="0"/>
    <x v="831"/>
    <d v="2023-03-01T00:00:00"/>
    <x v="7"/>
  </r>
  <r>
    <n v="880"/>
    <n v="165377666"/>
    <s v="Senior Vice President, Strategic Collaborations &amp; Scientific Affairs"/>
    <x v="7"/>
    <s v="Longeveron"/>
    <x v="4"/>
    <x v="1"/>
    <x v="0"/>
    <x v="832"/>
    <d v="2023-03-01T00:00:00"/>
    <x v="7"/>
  </r>
  <r>
    <n v="881"/>
    <n v="166551471"/>
    <s v="Director"/>
    <x v="2"/>
    <s v="Labcorp Drug Development"/>
    <x v="2"/>
    <x v="1"/>
    <x v="0"/>
    <x v="833"/>
    <d v="2023-03-01T00:00:00"/>
    <x v="7"/>
  </r>
  <r>
    <n v="882"/>
    <n v="166551479"/>
    <s v="VP"/>
    <x v="3"/>
    <s v="Linden Capital Partners"/>
    <x v="1"/>
    <x v="1"/>
    <x v="0"/>
    <x v="834"/>
    <d v="2023-03-01T00:00:00"/>
    <x v="7"/>
  </r>
  <r>
    <n v="883"/>
    <n v="166549971"/>
    <s v="Director"/>
    <x v="2"/>
    <s v="Labcorp Drug Development"/>
    <x v="2"/>
    <x v="1"/>
    <x v="0"/>
    <x v="835"/>
    <d v="2023-03-01T00:00:00"/>
    <x v="7"/>
  </r>
  <r>
    <n v="884"/>
    <n v="165377664"/>
    <s v="VP Manufacturing"/>
    <x v="3"/>
    <s v="Longeveron"/>
    <x v="4"/>
    <x v="1"/>
    <x v="0"/>
    <x v="836"/>
    <d v="2023-03-01T00:00:00"/>
    <x v="7"/>
  </r>
  <r>
    <n v="885"/>
    <n v="166553471"/>
    <s v="Principal Consultant"/>
    <x v="9"/>
    <s v="LIS BioConsulting"/>
    <x v="2"/>
    <x v="1"/>
    <x v="0"/>
    <x v="837"/>
    <d v="2023-03-01T00:00:00"/>
    <x v="7"/>
  </r>
  <r>
    <n v="886"/>
    <n v="166551469"/>
    <s v="Business development"/>
    <x v="4"/>
    <s v="L7 Informatics"/>
    <x v="0"/>
    <x v="1"/>
    <x v="0"/>
    <x v="838"/>
    <d v="2023-03-01T00:00:00"/>
    <x v="7"/>
  </r>
  <r>
    <n v="887"/>
    <n v="166551477"/>
    <s v="Director"/>
    <x v="2"/>
    <s v="Labcorp Drug Development"/>
    <x v="2"/>
    <x v="1"/>
    <x v="0"/>
    <x v="839"/>
    <d v="2023-03-01T00:00:00"/>
    <x v="7"/>
  </r>
  <r>
    <n v="888"/>
    <n v="166549193"/>
    <s v="C-suite"/>
    <x v="1"/>
    <s v="Ignyte Bio "/>
    <x v="2"/>
    <x v="15"/>
    <x v="0"/>
    <x v="840"/>
    <d v="2023-01-28T00:00:0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EDDF8E-7B53-A24F-889D-68F083F7A115}" name="PivotTable7" cacheId="23" applyNumberFormats="0" applyBorderFormats="0" applyFontFormats="0" applyPatternFormats="0" applyAlignmentFormats="0" applyWidthHeightFormats="1" dataCaption="Values" updatedVersion="8" minRefreshableVersion="5" useAutoFormatting="1" itemPrintTitles="1" createdVersion="6" indent="0" compact="0" compactData="0" multipleFieldFilters="0" chartFormat="17" rowHeaderCaption="Campaign">
  <location ref="B45:F67" firstHeaderRow="0" firstDataRow="1" firstDataCol="2"/>
  <pivotFields count="27">
    <pivotField compact="0" outline="0" showAll="0"/>
    <pivotField name="Campaign" axis="axisRow" compact="0" outline="0" showAll="0">
      <items count="22">
        <item sd="0" x="14"/>
        <item sd="0" x="18"/>
        <item sd="0" x="1"/>
        <item sd="0" x="19"/>
        <item sd="0" x="13"/>
        <item sd="0" x="15"/>
        <item sd="0" x="10"/>
        <item sd="0" x="7"/>
        <item sd="0" x="5"/>
        <item sd="0" x="3"/>
        <item sd="0" x="2"/>
        <item sd="0" x="6"/>
        <item sd="0" x="20"/>
        <item sd="0" x="11"/>
        <item sd="0" x="16"/>
        <item sd="0" x="17"/>
        <item sd="0" x="4"/>
        <item sd="0" x="8"/>
        <item sd="0" x="0"/>
        <item sd="0" x="9"/>
        <item sd="0" x="12"/>
        <item t="default" sd="0"/>
      </items>
    </pivotField>
    <pivotField axis="axisRow" compact="0" outline="0" showAll="0">
      <items count="188">
        <item x="124"/>
        <item x="139"/>
        <item x="24"/>
        <item x="40"/>
        <item x="26"/>
        <item x="33"/>
        <item x="28"/>
        <item x="12"/>
        <item x="35"/>
        <item x="27"/>
        <item x="51"/>
        <item x="36"/>
        <item x="126"/>
        <item x="75"/>
        <item x="83"/>
        <item x="173"/>
        <item x="80"/>
        <item x="65"/>
        <item x="95"/>
        <item x="136"/>
        <item x="19"/>
        <item x="1"/>
        <item x="11"/>
        <item x="2"/>
        <item x="108"/>
        <item x="179"/>
        <item x="10"/>
        <item x="56"/>
        <item x="31"/>
        <item x="86"/>
        <item x="175"/>
        <item x="178"/>
        <item x="70"/>
        <item x="47"/>
        <item x="123"/>
        <item x="174"/>
        <item x="125"/>
        <item x="41"/>
        <item x="177"/>
        <item x="90"/>
        <item x="25"/>
        <item x="109"/>
        <item x="135"/>
        <item x="45"/>
        <item x="144"/>
        <item x="149"/>
        <item x="132"/>
        <item x="49"/>
        <item x="54"/>
        <item x="13"/>
        <item x="172"/>
        <item x="96"/>
        <item x="55"/>
        <item x="168"/>
        <item x="167"/>
        <item x="63"/>
        <item x="100"/>
        <item x="161"/>
        <item x="29"/>
        <item x="164"/>
        <item x="91"/>
        <item x="44"/>
        <item x="57"/>
        <item x="52"/>
        <item x="160"/>
        <item x="76"/>
        <item x="39"/>
        <item x="87"/>
        <item x="104"/>
        <item x="64"/>
        <item x="72"/>
        <item x="142"/>
        <item x="148"/>
        <item x="143"/>
        <item x="146"/>
        <item x="20"/>
        <item x="67"/>
        <item x="115"/>
        <item x="71"/>
        <item x="78"/>
        <item x="79"/>
        <item x="58"/>
        <item x="50"/>
        <item x="147"/>
        <item x="6"/>
        <item x="43"/>
        <item x="145"/>
        <item x="53"/>
        <item x="7"/>
        <item x="106"/>
        <item x="4"/>
        <item x="158"/>
        <item x="111"/>
        <item x="15"/>
        <item x="16"/>
        <item x="117"/>
        <item x="61"/>
        <item x="116"/>
        <item x="99"/>
        <item x="154"/>
        <item x="131"/>
        <item x="88"/>
        <item x="23"/>
        <item x="102"/>
        <item x="171"/>
        <item x="0"/>
        <item x="182"/>
        <item x="152"/>
        <item x="130"/>
        <item x="101"/>
        <item x="93"/>
        <item x="98"/>
        <item x="69"/>
        <item x="157"/>
        <item x="5"/>
        <item x="181"/>
        <item x="137"/>
        <item x="66"/>
        <item x="153"/>
        <item x="17"/>
        <item x="162"/>
        <item x="73"/>
        <item x="176"/>
        <item x="119"/>
        <item x="77"/>
        <item x="166"/>
        <item x="85"/>
        <item x="68"/>
        <item x="103"/>
        <item x="163"/>
        <item x="42"/>
        <item x="113"/>
        <item x="84"/>
        <item x="60"/>
        <item x="118"/>
        <item x="133"/>
        <item x="156"/>
        <item x="8"/>
        <item x="46"/>
        <item x="32"/>
        <item x="140"/>
        <item x="120"/>
        <item x="121"/>
        <item x="141"/>
        <item x="159"/>
        <item x="112"/>
        <item x="110"/>
        <item x="107"/>
        <item x="184"/>
        <item x="128"/>
        <item x="18"/>
        <item x="34"/>
        <item x="82"/>
        <item x="62"/>
        <item x="114"/>
        <item x="14"/>
        <item x="185"/>
        <item x="169"/>
        <item x="22"/>
        <item x="37"/>
        <item x="3"/>
        <item x="21"/>
        <item x="129"/>
        <item x="134"/>
        <item x="48"/>
        <item x="59"/>
        <item x="155"/>
        <item x="89"/>
        <item x="122"/>
        <item x="74"/>
        <item x="92"/>
        <item x="30"/>
        <item x="180"/>
        <item x="94"/>
        <item x="9"/>
        <item x="97"/>
        <item x="186"/>
        <item x="165"/>
        <item x="183"/>
        <item x="150"/>
        <item x="138"/>
        <item x="151"/>
        <item x="38"/>
        <item x="127"/>
        <item x="105"/>
        <item x="170"/>
        <item x="81"/>
        <item t="default"/>
      </items>
    </pivotField>
    <pivotField compact="0" numFmtId="14" outline="0" showAll="0">
      <items count="2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t="default"/>
      </items>
    </pivotField>
    <pivotField compact="0" outline="0" showAll="0">
      <items count="123">
        <item x="118"/>
        <item x="66"/>
        <item x="60"/>
        <item x="56"/>
        <item x="46"/>
        <item x="57"/>
        <item x="58"/>
        <item x="76"/>
        <item x="80"/>
        <item x="82"/>
        <item x="92"/>
        <item x="61"/>
        <item x="88"/>
        <item x="73"/>
        <item x="69"/>
        <item x="71"/>
        <item x="10"/>
        <item x="43"/>
        <item x="39"/>
        <item x="64"/>
        <item x="62"/>
        <item x="29"/>
        <item x="67"/>
        <item x="38"/>
        <item x="47"/>
        <item x="59"/>
        <item x="2"/>
        <item x="77"/>
        <item x="44"/>
        <item x="107"/>
        <item x="34"/>
        <item x="108"/>
        <item x="109"/>
        <item x="32"/>
        <item x="28"/>
        <item x="89"/>
        <item x="37"/>
        <item x="52"/>
        <item x="40"/>
        <item x="23"/>
        <item x="33"/>
        <item x="87"/>
        <item x="26"/>
        <item x="41"/>
        <item x="91"/>
        <item x="45"/>
        <item x="81"/>
        <item x="5"/>
        <item x="72"/>
        <item x="49"/>
        <item x="68"/>
        <item x="31"/>
        <item x="30"/>
        <item x="0"/>
        <item x="35"/>
        <item x="55"/>
        <item x="1"/>
        <item x="90"/>
        <item x="27"/>
        <item x="94"/>
        <item x="63"/>
        <item x="4"/>
        <item x="93"/>
        <item x="74"/>
        <item x="18"/>
        <item x="78"/>
        <item x="50"/>
        <item x="79"/>
        <item x="22"/>
        <item x="53"/>
        <item x="83"/>
        <item x="24"/>
        <item x="36"/>
        <item x="75"/>
        <item x="51"/>
        <item x="110"/>
        <item x="6"/>
        <item x="103"/>
        <item x="15"/>
        <item x="119"/>
        <item x="7"/>
        <item x="95"/>
        <item x="97"/>
        <item x="17"/>
        <item x="3"/>
        <item x="8"/>
        <item x="42"/>
        <item x="102"/>
        <item x="104"/>
        <item x="65"/>
        <item x="85"/>
        <item x="114"/>
        <item x="116"/>
        <item x="21"/>
        <item x="120"/>
        <item x="121"/>
        <item x="25"/>
        <item x="105"/>
        <item x="86"/>
        <item x="113"/>
        <item x="115"/>
        <item x="70"/>
        <item x="101"/>
        <item x="112"/>
        <item x="98"/>
        <item x="100"/>
        <item x="12"/>
        <item x="96"/>
        <item x="84"/>
        <item x="99"/>
        <item x="19"/>
        <item x="106"/>
        <item x="117"/>
        <item x="20"/>
        <item x="111"/>
        <item x="48"/>
        <item x="14"/>
        <item x="54"/>
        <item x="11"/>
        <item x="16"/>
        <item x="9"/>
        <item x="13"/>
        <item t="default"/>
      </items>
    </pivotField>
    <pivotField compact="0" numFmtId="1" outline="0" showAll="0">
      <items count="207">
        <item x="72"/>
        <item x="152"/>
        <item x="196"/>
        <item x="86"/>
        <item x="36"/>
        <item x="12"/>
        <item x="136"/>
        <item x="40"/>
        <item x="41"/>
        <item x="148"/>
        <item x="58"/>
        <item x="116"/>
        <item x="181"/>
        <item x="9"/>
        <item x="3"/>
        <item x="151"/>
        <item x="46"/>
        <item x="47"/>
        <item x="118"/>
        <item x="10"/>
        <item x="18"/>
        <item x="193"/>
        <item x="21"/>
        <item x="180"/>
        <item x="178"/>
        <item x="150"/>
        <item x="16"/>
        <item x="137"/>
        <item x="42"/>
        <item x="173"/>
        <item x="155"/>
        <item x="123"/>
        <item x="162"/>
        <item x="185"/>
        <item x="142"/>
        <item x="149"/>
        <item x="2"/>
        <item x="133"/>
        <item x="11"/>
        <item x="61"/>
        <item x="13"/>
        <item x="60"/>
        <item x="198"/>
        <item x="125"/>
        <item x="168"/>
        <item x="50"/>
        <item x="17"/>
        <item x="117"/>
        <item x="201"/>
        <item x="80"/>
        <item x="132"/>
        <item x="195"/>
        <item x="95"/>
        <item x="92"/>
        <item x="105"/>
        <item x="184"/>
        <item x="6"/>
        <item x="127"/>
        <item x="179"/>
        <item x="8"/>
        <item x="83"/>
        <item x="23"/>
        <item x="19"/>
        <item x="160"/>
        <item x="74"/>
        <item x="75"/>
        <item x="69"/>
        <item x="70"/>
        <item x="33"/>
        <item x="120"/>
        <item x="121"/>
        <item x="103"/>
        <item x="104"/>
        <item x="91"/>
        <item x="87"/>
        <item x="114"/>
        <item x="115"/>
        <item x="48"/>
        <item x="1"/>
        <item x="35"/>
        <item x="31"/>
        <item x="25"/>
        <item x="28"/>
        <item x="38"/>
        <item x="199"/>
        <item x="187"/>
        <item x="188"/>
        <item x="7"/>
        <item x="107"/>
        <item x="182"/>
        <item x="64"/>
        <item x="101"/>
        <item x="73"/>
        <item x="97"/>
        <item x="100"/>
        <item x="124"/>
        <item x="98"/>
        <item x="110"/>
        <item x="130"/>
        <item x="65"/>
        <item x="5"/>
        <item x="143"/>
        <item x="164"/>
        <item x="0"/>
        <item x="14"/>
        <item x="128"/>
        <item x="85"/>
        <item x="63"/>
        <item x="186"/>
        <item x="93"/>
        <item x="54"/>
        <item x="89"/>
        <item x="59"/>
        <item x="44"/>
        <item x="62"/>
        <item x="55"/>
        <item x="20"/>
        <item x="158"/>
        <item x="138"/>
        <item x="15"/>
        <item x="203"/>
        <item x="154"/>
        <item x="159"/>
        <item x="119"/>
        <item x="144"/>
        <item x="135"/>
        <item x="52"/>
        <item x="49"/>
        <item x="51"/>
        <item x="139"/>
        <item x="140"/>
        <item x="111"/>
        <item x="39"/>
        <item x="81"/>
        <item x="147"/>
        <item x="197"/>
        <item x="109"/>
        <item x="108"/>
        <item x="45"/>
        <item x="76"/>
        <item x="71"/>
        <item x="37"/>
        <item x="34"/>
        <item x="161"/>
        <item x="82"/>
        <item x="94"/>
        <item x="90"/>
        <item x="165"/>
        <item x="66"/>
        <item x="56"/>
        <item x="189"/>
        <item x="153"/>
        <item x="29"/>
        <item x="26"/>
        <item x="79"/>
        <item x="190"/>
        <item x="99"/>
        <item x="113"/>
        <item x="122"/>
        <item x="106"/>
        <item x="205"/>
        <item x="204"/>
        <item x="200"/>
        <item x="174"/>
        <item x="191"/>
        <item x="171"/>
        <item x="194"/>
        <item x="166"/>
        <item x="183"/>
        <item x="176"/>
        <item x="175"/>
        <item x="172"/>
        <item x="167"/>
        <item x="163"/>
        <item x="129"/>
        <item x="4"/>
        <item x="57"/>
        <item x="141"/>
        <item x="32"/>
        <item x="53"/>
        <item x="30"/>
        <item x="27"/>
        <item x="24"/>
        <item x="43"/>
        <item x="145"/>
        <item x="22"/>
        <item x="112"/>
        <item x="88"/>
        <item x="78"/>
        <item x="67"/>
        <item x="131"/>
        <item x="156"/>
        <item x="68"/>
        <item x="96"/>
        <item x="146"/>
        <item x="134"/>
        <item x="157"/>
        <item x="126"/>
        <item x="169"/>
        <item x="177"/>
        <item x="102"/>
        <item x="192"/>
        <item x="84"/>
        <item x="170"/>
        <item x="77"/>
        <item x="202"/>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dataField="1" compact="0" numFmtId="9" outline="0" showAll="0"/>
    <pivotField dataField="1" compact="0" numFmtId="9" outline="0" showAll="0"/>
    <pivotField compact="0" outline="0" showAll="0"/>
    <pivotField compact="0" outline="0" showAll="0"/>
    <pivotField compact="0" numFmtId="10" outline="0" showAll="0"/>
    <pivotField compact="0" numFmtId="9" outline="0" showAll="0"/>
    <pivotField compact="0" numFmtId="10" outline="0" showAll="0"/>
    <pivotField dataField="1" compact="0" numFmtId="2" outline="0" showAll="0"/>
    <pivotField compact="0" numFmtId="1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2">
    <field x="1"/>
    <field x="2"/>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3">
    <i>
      <x/>
    </i>
    <i i="1">
      <x v="1"/>
    </i>
    <i i="2">
      <x v="2"/>
    </i>
  </colItems>
  <dataFields count="3">
    <dataField name="Opened emails" fld="16" subtotal="average" baseField="0" baseItem="0" numFmtId="9"/>
    <dataField name="Engagement through clicks" fld="23" subtotal="average" baseField="0" baseItem="0" numFmtId="9"/>
    <dataField name="Product page visitors" fld="17" subtotal="average" baseField="0" baseItem="0" numFmtId="9"/>
  </dataFields>
  <formats count="10">
    <format dxfId="41">
      <pivotArea field="5" type="button" dataOnly="0" labelOnly="1" outline="0"/>
    </format>
    <format dxfId="40">
      <pivotArea outline="0" fieldPosition="0">
        <references count="1">
          <reference field="4294967294" count="1">
            <x v="1"/>
          </reference>
        </references>
      </pivotArea>
    </format>
    <format dxfId="39">
      <pivotArea outline="0" collapsedLevelsAreSubtotals="1" fieldPosition="0"/>
    </format>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field="2" type="button" dataOnly="0" labelOnly="1" outline="0" axis="axisRow" fieldPosition="1"/>
    </format>
    <format dxfId="34">
      <pivotArea dataOnly="0" labelOnly="1" outline="0" fieldPosition="0">
        <references count="1">
          <reference field="1" count="0"/>
        </references>
      </pivotArea>
    </format>
    <format dxfId="33">
      <pivotArea dataOnly="0" labelOnly="1" grandRow="1" outline="0" fieldPosition="0"/>
    </format>
    <format dxfId="32">
      <pivotArea dataOnly="0" labelOnly="1" outline="0" fieldPosition="0">
        <references count="1">
          <reference field="4294967294" count="3">
            <x v="0"/>
            <x v="1"/>
            <x v="2"/>
          </reference>
        </references>
      </pivotArea>
    </format>
  </formats>
  <conditionalFormats count="23">
    <conditionalFormat priority="2">
      <pivotAreas count="1">
        <pivotArea type="data" outline="0" collapsedLevelsAreSubtotals="1" fieldPosition="0">
          <references count="1">
            <reference field="1" count="3" selected="0" defaultSubtotal="1">
              <x v="0"/>
              <x v="1"/>
              <x v="2"/>
            </reference>
          </references>
        </pivotArea>
      </pivotAreas>
    </conditionalFormat>
    <conditionalFormat priority="1">
      <pivotAreas count="1">
        <pivotArea type="data" outline="0" collapsedLevelsAreSubtotals="1" fieldPosition="0">
          <references count="1">
            <reference field="1" count="21" selected="0" defaultSubtotal="1">
              <x v="0"/>
              <x v="1"/>
              <x v="2"/>
              <x v="3"/>
              <x v="4"/>
              <x v="5"/>
              <x v="6"/>
              <x v="7"/>
              <x v="8"/>
              <x v="9"/>
              <x v="10"/>
              <x v="11"/>
              <x v="12"/>
              <x v="13"/>
              <x v="14"/>
              <x v="15"/>
              <x v="16"/>
              <x v="17"/>
              <x v="18"/>
              <x v="19"/>
              <x v="20"/>
            </reference>
          </references>
        </pivotArea>
      </pivotAreas>
    </conditionalFormat>
    <conditionalFormat priority="23">
      <pivotAreas count="1">
        <pivotArea type="data" outline="0" collapsedLevelsAreSubtotals="1" fieldPosition="0">
          <references count="2">
            <reference field="1" count="1" selected="0">
              <x v="0"/>
            </reference>
            <reference field="2" count="12" selected="0">
              <x v="15"/>
              <x v="32"/>
              <x v="56"/>
              <x v="64"/>
              <x v="67"/>
              <x v="71"/>
              <x v="79"/>
              <x v="98"/>
              <x v="107"/>
              <x v="135"/>
              <x v="168"/>
              <x v="178"/>
            </reference>
          </references>
        </pivotArea>
      </pivotAreas>
    </conditionalFormat>
    <conditionalFormat priority="22">
      <pivotAreas count="1">
        <pivotArea type="data" outline="0" collapsedLevelsAreSubtotals="1" fieldPosition="0">
          <references count="2">
            <reference field="1" count="1" selected="0">
              <x v="1"/>
            </reference>
            <reference field="2" count="4" selected="0">
              <x v="42"/>
              <x v="74"/>
              <x v="116"/>
              <x v="181"/>
            </reference>
          </references>
        </pivotArea>
      </pivotAreas>
    </conditionalFormat>
    <conditionalFormat priority="21">
      <pivotAreas count="1">
        <pivotArea type="data" outline="0" collapsedLevelsAreSubtotals="1" fieldPosition="0">
          <references count="2">
            <reference field="1" count="1" selected="0">
              <x v="2"/>
            </reference>
            <reference field="2" count="8" selected="0">
              <x v="21"/>
              <x v="49"/>
              <x v="54"/>
              <x v="84"/>
              <x v="106"/>
              <x v="136"/>
              <x v="148"/>
              <x v="174"/>
            </reference>
          </references>
        </pivotArea>
      </pivotAreas>
    </conditionalFormat>
    <conditionalFormat priority="20">
      <pivotAreas count="1">
        <pivotArea type="data" outline="0" collapsedLevelsAreSubtotals="1" fieldPosition="0">
          <references count="2">
            <reference field="1" count="1" selected="0">
              <x v="3"/>
            </reference>
            <reference field="2" count="2" selected="0">
              <x v="1"/>
              <x v="180"/>
            </reference>
          </references>
        </pivotArea>
      </pivotAreas>
    </conditionalFormat>
    <conditionalFormat priority="19">
      <pivotAreas count="1">
        <pivotArea type="data" outline="0" collapsedLevelsAreSubtotals="1" fieldPosition="0">
          <references count="2">
            <reference field="1" count="1" selected="0">
              <x v="4"/>
            </reference>
            <reference field="2" count="12" selected="0">
              <x v="55"/>
              <x v="72"/>
              <x v="103"/>
              <x v="112"/>
              <x v="113"/>
              <x v="118"/>
              <x v="128"/>
              <x v="169"/>
              <x v="172"/>
              <x v="173"/>
              <x v="176"/>
              <x v="177"/>
            </reference>
          </references>
        </pivotArea>
      </pivotAreas>
    </conditionalFormat>
    <conditionalFormat priority="18">
      <pivotAreas count="1">
        <pivotArea type="data" outline="0" collapsedLevelsAreSubtotals="1" fieldPosition="0">
          <references count="2">
            <reference field="1" count="1" selected="0">
              <x v="5"/>
            </reference>
            <reference field="2" count="7" selected="0">
              <x v="101"/>
              <x v="109"/>
              <x v="110"/>
              <x v="111"/>
              <x v="142"/>
              <x v="170"/>
              <x v="186"/>
            </reference>
          </references>
        </pivotArea>
      </pivotAreas>
    </conditionalFormat>
    <conditionalFormat priority="17">
      <pivotAreas count="1">
        <pivotArea type="data" outline="0" collapsedLevelsAreSubtotals="1" fieldPosition="0">
          <references count="2">
            <reference field="1" count="1" selected="0">
              <x v="6"/>
            </reference>
            <reference field="2" count="8" selected="0">
              <x v="0"/>
              <x v="36"/>
              <x v="43"/>
              <x v="73"/>
              <x v="86"/>
              <x v="104"/>
              <x v="143"/>
              <x v="151"/>
            </reference>
          </references>
        </pivotArea>
      </pivotAreas>
    </conditionalFormat>
    <conditionalFormat priority="16">
      <pivotAreas count="1">
        <pivotArea type="data" outline="0" collapsedLevelsAreSubtotals="1" fieldPosition="0">
          <references count="2">
            <reference field="1" count="1" selected="0">
              <x v="7"/>
            </reference>
            <reference field="2" count="5" selected="0">
              <x v="5"/>
              <x v="6"/>
              <x v="10"/>
              <x v="40"/>
              <x v="139"/>
            </reference>
          </references>
        </pivotArea>
      </pivotAreas>
    </conditionalFormat>
    <conditionalFormat priority="15">
      <pivotAreas count="1">
        <pivotArea type="data" outline="0" collapsedLevelsAreSubtotals="1" fieldPosition="0">
          <references count="2">
            <reference field="1" count="1" selected="0">
              <x v="8"/>
            </reference>
            <reference field="2" count="16" selected="0">
              <x v="2"/>
              <x v="7"/>
              <x v="9"/>
              <x v="61"/>
              <x v="75"/>
              <x v="76"/>
              <x v="108"/>
              <x v="114"/>
              <x v="134"/>
              <x v="145"/>
              <x v="150"/>
              <x v="151"/>
              <x v="159"/>
              <x v="161"/>
              <x v="165"/>
              <x v="171"/>
            </reference>
          </references>
        </pivotArea>
      </pivotAreas>
    </conditionalFormat>
    <conditionalFormat priority="14">
      <pivotAreas count="1">
        <pivotArea type="data" outline="0" collapsedLevelsAreSubtotals="1" fieldPosition="0">
          <references count="2">
            <reference field="1" count="1" selected="0">
              <x v="9"/>
            </reference>
            <reference field="2" count="10" selected="0">
              <x v="4"/>
              <x v="28"/>
              <x v="37"/>
              <x v="58"/>
              <x v="63"/>
              <x v="102"/>
              <x v="153"/>
              <x v="158"/>
              <x v="160"/>
              <x v="164"/>
            </reference>
          </references>
        </pivotArea>
      </pivotAreas>
    </conditionalFormat>
    <conditionalFormat priority="13">
      <pivotAreas count="1">
        <pivotArea type="data" outline="0" collapsedLevelsAreSubtotals="1" fieldPosition="0">
          <references count="2">
            <reference field="1" count="1" selected="0">
              <x v="10"/>
            </reference>
            <reference field="2" count="10" selected="0">
              <x v="19"/>
              <x v="23"/>
              <x v="24"/>
              <x v="25"/>
              <x v="26"/>
              <x v="59"/>
              <x v="87"/>
              <x v="120"/>
              <x v="129"/>
              <x v="162"/>
            </reference>
          </references>
        </pivotArea>
      </pivotAreas>
    </conditionalFormat>
    <conditionalFormat priority="12">
      <pivotAreas count="1">
        <pivotArea type="data" outline="0" collapsedLevelsAreSubtotals="1" fieldPosition="0">
          <references count="2">
            <reference field="1" count="1" selected="0">
              <x v="11"/>
            </reference>
            <reference field="2" count="1" selected="0">
              <x v="20"/>
            </reference>
          </references>
        </pivotArea>
      </pivotAreas>
    </conditionalFormat>
    <conditionalFormat priority="11">
      <pivotAreas count="1">
        <pivotArea type="data" outline="0" collapsedLevelsAreSubtotals="1" fieldPosition="0">
          <references count="2">
            <reference field="1" count="1" selected="0">
              <x v="12"/>
            </reference>
            <reference field="2" count="2" selected="0">
              <x v="35"/>
              <x v="38"/>
            </reference>
          </references>
        </pivotArea>
      </pivotAreas>
    </conditionalFormat>
    <conditionalFormat priority="10">
      <pivotAreas count="1">
        <pivotArea type="data" outline="0" collapsedLevelsAreSubtotals="1" fieldPosition="0">
          <references count="2">
            <reference field="1" count="1" selected="0">
              <x v="13"/>
            </reference>
            <reference field="2" count="7" selected="0">
              <x v="31"/>
              <x v="47"/>
              <x v="68"/>
              <x v="70"/>
              <x v="133"/>
              <x v="163"/>
              <x v="184"/>
            </reference>
          </references>
        </pivotArea>
      </pivotAreas>
    </conditionalFormat>
    <conditionalFormat priority="9">
      <pivotAreas count="1">
        <pivotArea type="data" outline="0" collapsedLevelsAreSubtotals="1" fieldPosition="0">
          <references count="2">
            <reference field="1" count="1" selected="0">
              <x v="14"/>
            </reference>
            <reference field="2" count="2" selected="0">
              <x v="92"/>
              <x v="131"/>
            </reference>
          </references>
        </pivotArea>
      </pivotAreas>
    </conditionalFormat>
    <conditionalFormat priority="8">
      <pivotAreas count="1">
        <pivotArea type="data" outline="0" collapsedLevelsAreSubtotals="1" fieldPosition="0">
          <references count="2">
            <reference field="1" count="1" selected="0">
              <x v="15"/>
            </reference>
            <reference field="2" count="21" selected="0">
              <x v="30"/>
              <x v="46"/>
              <x v="50"/>
              <x v="53"/>
              <x v="57"/>
              <x v="83"/>
              <x v="91"/>
              <x v="95"/>
              <x v="97"/>
              <x v="115"/>
              <x v="122"/>
              <x v="125"/>
              <x v="126"/>
              <x v="144"/>
              <x v="149"/>
              <x v="156"/>
              <x v="157"/>
              <x v="166"/>
              <x v="179"/>
              <x v="183"/>
              <x v="185"/>
            </reference>
          </references>
        </pivotArea>
      </pivotAreas>
    </conditionalFormat>
    <conditionalFormat priority="7">
      <pivotAreas count="1">
        <pivotArea type="data" outline="0" collapsedLevelsAreSubtotals="1" fieldPosition="0">
          <references count="2">
            <reference field="1" count="1" selected="0">
              <x v="16"/>
            </reference>
            <reference field="2" count="8" selected="0">
              <x v="22"/>
              <x v="88"/>
              <x v="90"/>
              <x v="93"/>
              <x v="94"/>
              <x v="119"/>
              <x v="137"/>
              <x v="155"/>
            </reference>
          </references>
        </pivotArea>
      </pivotAreas>
    </conditionalFormat>
    <conditionalFormat priority="6">
      <pivotAreas count="1">
        <pivotArea type="data" outline="0" collapsedLevelsAreSubtotals="1" fieldPosition="0">
          <references count="2">
            <reference field="1" count="1" selected="0">
              <x v="17"/>
            </reference>
            <reference field="2" count="39" selected="0">
              <x v="3"/>
              <x v="8"/>
              <x v="11"/>
              <x v="16"/>
              <x v="17"/>
              <x v="18"/>
              <x v="27"/>
              <x v="29"/>
              <x v="33"/>
              <x v="39"/>
              <x v="41"/>
              <x v="51"/>
              <x v="52"/>
              <x v="60"/>
              <x v="62"/>
              <x v="65"/>
              <x v="66"/>
              <x v="69"/>
              <x v="77"/>
              <x v="85"/>
              <x v="89"/>
              <x v="96"/>
              <x v="117"/>
              <x v="121"/>
              <x v="123"/>
              <x v="124"/>
              <x v="126"/>
              <x v="127"/>
              <x v="132"/>
              <x v="138"/>
              <x v="141"/>
              <x v="146"/>
              <x v="147"/>
              <x v="151"/>
              <x v="152"/>
              <x v="154"/>
              <x v="167"/>
              <x v="175"/>
              <x v="182"/>
            </reference>
          </references>
        </pivotArea>
      </pivotAreas>
    </conditionalFormat>
    <conditionalFormat priority="5">
      <pivotAreas count="1">
        <pivotArea type="data" outline="0" collapsedLevelsAreSubtotals="1" fieldPosition="0">
          <references count="2">
            <reference field="1" count="1" selected="0">
              <x v="18"/>
            </reference>
            <reference field="2" count="1" selected="0">
              <x v="105"/>
            </reference>
          </references>
        </pivotArea>
      </pivotAreas>
    </conditionalFormat>
    <conditionalFormat priority="4">
      <pivotAreas count="1">
        <pivotArea type="data" outline="0" collapsedLevelsAreSubtotals="1" fieldPosition="0">
          <references count="2">
            <reference field="1" count="1" selected="0">
              <x v="19"/>
            </reference>
            <reference field="2" count="2" selected="0">
              <x v="82"/>
              <x v="130"/>
            </reference>
          </references>
        </pivotArea>
      </pivotAreas>
    </conditionalFormat>
    <conditionalFormat priority="3">
      <pivotAreas count="1">
        <pivotArea type="data" outline="0" collapsedLevelsAreSubtotals="1" fieldPosition="0">
          <references count="2">
            <reference field="1" count="1" selected="0">
              <x v="20"/>
            </reference>
            <reference field="2" count="13" selected="0">
              <x v="12"/>
              <x v="13"/>
              <x v="14"/>
              <x v="34"/>
              <x v="44"/>
              <x v="45"/>
              <x v="48"/>
              <x v="78"/>
              <x v="80"/>
              <x v="81"/>
              <x v="99"/>
              <x v="100"/>
              <x v="140"/>
            </reference>
          </references>
        </pivotArea>
      </pivotAreas>
    </conditionalFormat>
  </conditional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3393F4-4E6D-F948-B1B2-36DA3D20DC92}" name="PivotTable2" cacheId="24" applyNumberFormats="0" applyBorderFormats="0" applyFontFormats="0" applyPatternFormats="0" applyAlignmentFormats="0" applyWidthHeightFormats="1" dataCaption="Values" updatedVersion="6" minRefreshableVersion="5" useAutoFormatting="1" itemPrintTitles="1" createdVersion="6" indent="0" showHeaders="0" outline="1" outlineData="1" multipleFieldFilters="0" chartFormat="68">
  <location ref="A3:B14" firstHeaderRow="1" firstDataRow="1" firstDataCol="1"/>
  <pivotFields count="14">
    <pivotField showAll="0"/>
    <pivotField dataField="1" showAll="0"/>
    <pivotField showAll="0"/>
    <pivotField showAll="0">
      <items count="83">
        <item m="1" x="36"/>
        <item m="1" x="33"/>
        <item m="1" x="77"/>
        <item x="8"/>
        <item m="1" x="68"/>
        <item m="1" x="47"/>
        <item m="1" x="59"/>
        <item m="1" x="76"/>
        <item m="1" x="54"/>
        <item m="1" x="57"/>
        <item x="1"/>
        <item m="1" x="30"/>
        <item m="1" x="71"/>
        <item m="1" x="52"/>
        <item m="1" x="64"/>
        <item m="1" x="45"/>
        <item m="1" x="63"/>
        <item m="1" x="16"/>
        <item x="2"/>
        <item x="11"/>
        <item m="1" x="17"/>
        <item m="1" x="56"/>
        <item m="1" x="34"/>
        <item x="10"/>
        <item m="1" x="53"/>
        <item m="1" x="32"/>
        <item m="1" x="13"/>
        <item m="1" x="19"/>
        <item x="5"/>
        <item m="1" x="27"/>
        <item m="1" x="18"/>
        <item x="0"/>
        <item m="1" x="25"/>
        <item m="1" x="72"/>
        <item m="1" x="21"/>
        <item m="1" x="55"/>
        <item m="1" x="40"/>
        <item m="1" x="48"/>
        <item m="1" x="39"/>
        <item m="1" x="81"/>
        <item m="1" x="20"/>
        <item x="6"/>
        <item x="4"/>
        <item m="1" x="24"/>
        <item m="1" x="74"/>
        <item m="1" x="23"/>
        <item m="1" x="50"/>
        <item m="1" x="46"/>
        <item m="1" x="61"/>
        <item x="9"/>
        <item m="1" x="44"/>
        <item m="1" x="62"/>
        <item m="1" x="79"/>
        <item m="1" x="69"/>
        <item m="1" x="35"/>
        <item m="1" x="42"/>
        <item m="1" x="49"/>
        <item m="1" x="38"/>
        <item m="1" x="37"/>
        <item m="1" x="58"/>
        <item m="1" x="14"/>
        <item m="1" x="66"/>
        <item m="1" x="28"/>
        <item m="1" x="80"/>
        <item m="1" x="41"/>
        <item m="1" x="22"/>
        <item x="7"/>
        <item m="1" x="29"/>
        <item m="1" x="67"/>
        <item m="1" x="73"/>
        <item m="1" x="75"/>
        <item m="1" x="43"/>
        <item m="1" x="70"/>
        <item m="1" x="78"/>
        <item m="1" x="60"/>
        <item m="1" x="65"/>
        <item m="1" x="31"/>
        <item m="1" x="15"/>
        <item m="1" x="26"/>
        <item x="3"/>
        <item m="1" x="51"/>
        <item m="1" x="12"/>
        <item t="default"/>
      </items>
    </pivotField>
    <pivotField showAll="0"/>
    <pivotField axis="axisRow" multipleItemSelectionAllowed="1" showAll="0">
      <items count="15">
        <item x="3"/>
        <item x="5"/>
        <item x="4"/>
        <item x="10"/>
        <item x="1"/>
        <item x="8"/>
        <item x="11"/>
        <item x="7"/>
        <item x="9"/>
        <item x="6"/>
        <item x="0"/>
        <item m="1" x="12"/>
        <item m="1" x="13"/>
        <item x="2"/>
        <item t="default"/>
      </items>
    </pivotField>
    <pivotField showAll="0">
      <items count="19">
        <item x="0"/>
        <item x="2"/>
        <item x="4"/>
        <item x="9"/>
        <item x="5"/>
        <item x="6"/>
        <item x="7"/>
        <item x="8"/>
        <item x="3"/>
        <item x="15"/>
        <item x="11"/>
        <item x="16"/>
        <item x="12"/>
        <item x="13"/>
        <item x="14"/>
        <item x="1"/>
        <item x="17"/>
        <item x="10"/>
        <item t="default"/>
      </items>
    </pivotField>
    <pivotField showAll="0">
      <items count="5">
        <item h="1" x="2"/>
        <item x="0"/>
        <item h="1" x="1"/>
        <item h="1" x="3"/>
        <item t="default"/>
      </items>
    </pivotField>
    <pivotField numFmtId="14" showAll="0">
      <items count="8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11">
    <i>
      <x/>
    </i>
    <i>
      <x v="1"/>
    </i>
    <i>
      <x v="2"/>
    </i>
    <i>
      <x v="3"/>
    </i>
    <i>
      <x v="4"/>
    </i>
    <i>
      <x v="5"/>
    </i>
    <i>
      <x v="7"/>
    </i>
    <i>
      <x v="8"/>
    </i>
    <i>
      <x v="10"/>
    </i>
    <i>
      <x v="13"/>
    </i>
    <i t="grand">
      <x/>
    </i>
  </rowItems>
  <colItems count="1">
    <i/>
  </colItems>
  <dataFields count="1">
    <dataField name="Count of Contact ID" fld="1" subtotal="count" baseField="0" baseItem="0"/>
  </dataFields>
  <chartFormats count="75">
    <chartFormat chart="42" format="50" series="1">
      <pivotArea type="data" outline="0" fieldPosition="0">
        <references count="1">
          <reference field="4294967294" count="1" selected="0">
            <x v="0"/>
          </reference>
        </references>
      </pivotArea>
    </chartFormat>
    <chartFormat chart="40" format="30" series="1">
      <pivotArea type="data" outline="0" fieldPosition="0">
        <references count="1">
          <reference field="4294967294" count="1" selected="0">
            <x v="0"/>
          </reference>
        </references>
      </pivotArea>
    </chartFormat>
    <chartFormat chart="42" format="51">
      <pivotArea type="data" outline="0" fieldPosition="0">
        <references count="2">
          <reference field="4294967294" count="1" selected="0">
            <x v="0"/>
          </reference>
          <reference field="5" count="1" selected="0">
            <x v="2"/>
          </reference>
        </references>
      </pivotArea>
    </chartFormat>
    <chartFormat chart="42" format="52">
      <pivotArea type="data" outline="0" fieldPosition="0">
        <references count="2">
          <reference field="4294967294" count="1" selected="0">
            <x v="0"/>
          </reference>
          <reference field="5" count="1" selected="0">
            <x v="10"/>
          </reference>
        </references>
      </pivotArea>
    </chartFormat>
    <chartFormat chart="42" format="53">
      <pivotArea type="data" outline="0" fieldPosition="0">
        <references count="2">
          <reference field="4294967294" count="1" selected="0">
            <x v="0"/>
          </reference>
          <reference field="5" count="1" selected="0">
            <x v="12"/>
          </reference>
        </references>
      </pivotArea>
    </chartFormat>
    <chartFormat chart="42" format="54">
      <pivotArea type="data" outline="0" fieldPosition="0">
        <references count="2">
          <reference field="4294967294" count="1" selected="0">
            <x v="0"/>
          </reference>
          <reference field="5" count="1" selected="0">
            <x v="1"/>
          </reference>
        </references>
      </pivotArea>
    </chartFormat>
    <chartFormat chart="42" format="55">
      <pivotArea type="data" outline="0" fieldPosition="0">
        <references count="2">
          <reference field="4294967294" count="1" selected="0">
            <x v="0"/>
          </reference>
          <reference field="5" count="1" selected="0">
            <x v="0"/>
          </reference>
        </references>
      </pivotArea>
    </chartFormat>
    <chartFormat chart="42" format="56">
      <pivotArea type="data" outline="0" fieldPosition="0">
        <references count="2">
          <reference field="4294967294" count="1" selected="0">
            <x v="0"/>
          </reference>
          <reference field="5" count="1" selected="0">
            <x v="4"/>
          </reference>
        </references>
      </pivotArea>
    </chartFormat>
    <chartFormat chart="42" format="57">
      <pivotArea type="data" outline="0" fieldPosition="0">
        <references count="2">
          <reference field="4294967294" count="1" selected="0">
            <x v="0"/>
          </reference>
          <reference field="5" count="1" selected="0">
            <x v="5"/>
          </reference>
        </references>
      </pivotArea>
    </chartFormat>
    <chartFormat chart="42" format="58">
      <pivotArea type="data" outline="0" fieldPosition="0">
        <references count="2">
          <reference field="4294967294" count="1" selected="0">
            <x v="0"/>
          </reference>
          <reference field="5" count="1" selected="0">
            <x v="7"/>
          </reference>
        </references>
      </pivotArea>
    </chartFormat>
    <chartFormat chart="42" format="59">
      <pivotArea type="data" outline="0" fieldPosition="0">
        <references count="2">
          <reference field="4294967294" count="1" selected="0">
            <x v="0"/>
          </reference>
          <reference field="5" count="1" selected="0">
            <x v="8"/>
          </reference>
        </references>
      </pivotArea>
    </chartFormat>
    <chartFormat chart="42" format="60">
      <pivotArea type="data" outline="0" fieldPosition="0">
        <references count="2">
          <reference field="4294967294" count="1" selected="0">
            <x v="0"/>
          </reference>
          <reference field="5" count="1" selected="0">
            <x v="3"/>
          </reference>
        </references>
      </pivotArea>
    </chartFormat>
    <chartFormat chart="57" format="72" series="1">
      <pivotArea type="data" outline="0" fieldPosition="0">
        <references count="1">
          <reference field="4294967294" count="1" selected="0">
            <x v="0"/>
          </reference>
        </references>
      </pivotArea>
    </chartFormat>
    <chartFormat chart="57" format="73">
      <pivotArea type="data" outline="0" fieldPosition="0">
        <references count="2">
          <reference field="4294967294" count="1" selected="0">
            <x v="0"/>
          </reference>
          <reference field="5" count="1" selected="0">
            <x v="0"/>
          </reference>
        </references>
      </pivotArea>
    </chartFormat>
    <chartFormat chart="57" format="74">
      <pivotArea type="data" outline="0" fieldPosition="0">
        <references count="2">
          <reference field="4294967294" count="1" selected="0">
            <x v="0"/>
          </reference>
          <reference field="5" count="1" selected="0">
            <x v="1"/>
          </reference>
        </references>
      </pivotArea>
    </chartFormat>
    <chartFormat chart="57" format="75">
      <pivotArea type="data" outline="0" fieldPosition="0">
        <references count="2">
          <reference field="4294967294" count="1" selected="0">
            <x v="0"/>
          </reference>
          <reference field="5" count="1" selected="0">
            <x v="2"/>
          </reference>
        </references>
      </pivotArea>
    </chartFormat>
    <chartFormat chart="57" format="76">
      <pivotArea type="data" outline="0" fieldPosition="0">
        <references count="2">
          <reference field="4294967294" count="1" selected="0">
            <x v="0"/>
          </reference>
          <reference field="5" count="1" selected="0">
            <x v="3"/>
          </reference>
        </references>
      </pivotArea>
    </chartFormat>
    <chartFormat chart="57" format="77">
      <pivotArea type="data" outline="0" fieldPosition="0">
        <references count="2">
          <reference field="4294967294" count="1" selected="0">
            <x v="0"/>
          </reference>
          <reference field="5" count="1" selected="0">
            <x v="4"/>
          </reference>
        </references>
      </pivotArea>
    </chartFormat>
    <chartFormat chart="57" format="78">
      <pivotArea type="data" outline="0" fieldPosition="0">
        <references count="2">
          <reference field="4294967294" count="1" selected="0">
            <x v="0"/>
          </reference>
          <reference field="5" count="1" selected="0">
            <x v="5"/>
          </reference>
        </references>
      </pivotArea>
    </chartFormat>
    <chartFormat chart="57" format="79">
      <pivotArea type="data" outline="0" fieldPosition="0">
        <references count="2">
          <reference field="4294967294" count="1" selected="0">
            <x v="0"/>
          </reference>
          <reference field="5" count="1" selected="0">
            <x v="7"/>
          </reference>
        </references>
      </pivotArea>
    </chartFormat>
    <chartFormat chart="57" format="80">
      <pivotArea type="data" outline="0" fieldPosition="0">
        <references count="2">
          <reference field="4294967294" count="1" selected="0">
            <x v="0"/>
          </reference>
          <reference field="5" count="1" selected="0">
            <x v="8"/>
          </reference>
        </references>
      </pivotArea>
    </chartFormat>
    <chartFormat chart="57" format="81">
      <pivotArea type="data" outline="0" fieldPosition="0">
        <references count="2">
          <reference field="4294967294" count="1" selected="0">
            <x v="0"/>
          </reference>
          <reference field="5" count="1" selected="0">
            <x v="10"/>
          </reference>
        </references>
      </pivotArea>
    </chartFormat>
    <chartFormat chart="57" format="82">
      <pivotArea type="data" outline="0" fieldPosition="0">
        <references count="2">
          <reference field="4294967294" count="1" selected="0">
            <x v="0"/>
          </reference>
          <reference field="5" count="1" selected="0">
            <x v="12"/>
          </reference>
        </references>
      </pivotArea>
    </chartFormat>
    <chartFormat chart="59" format="72" series="1">
      <pivotArea type="data" outline="0" fieldPosition="0">
        <references count="1">
          <reference field="4294967294" count="1" selected="0">
            <x v="0"/>
          </reference>
        </references>
      </pivotArea>
    </chartFormat>
    <chartFormat chart="59" format="73">
      <pivotArea type="data" outline="0" fieldPosition="0">
        <references count="2">
          <reference field="4294967294" count="1" selected="0">
            <x v="0"/>
          </reference>
          <reference field="5" count="1" selected="0">
            <x v="0"/>
          </reference>
        </references>
      </pivotArea>
    </chartFormat>
    <chartFormat chart="59" format="74">
      <pivotArea type="data" outline="0" fieldPosition="0">
        <references count="2">
          <reference field="4294967294" count="1" selected="0">
            <x v="0"/>
          </reference>
          <reference field="5" count="1" selected="0">
            <x v="1"/>
          </reference>
        </references>
      </pivotArea>
    </chartFormat>
    <chartFormat chart="59" format="75">
      <pivotArea type="data" outline="0" fieldPosition="0">
        <references count="2">
          <reference field="4294967294" count="1" selected="0">
            <x v="0"/>
          </reference>
          <reference field="5" count="1" selected="0">
            <x v="2"/>
          </reference>
        </references>
      </pivotArea>
    </chartFormat>
    <chartFormat chart="59" format="76">
      <pivotArea type="data" outline="0" fieldPosition="0">
        <references count="2">
          <reference field="4294967294" count="1" selected="0">
            <x v="0"/>
          </reference>
          <reference field="5" count="1" selected="0">
            <x v="3"/>
          </reference>
        </references>
      </pivotArea>
    </chartFormat>
    <chartFormat chart="59" format="77">
      <pivotArea type="data" outline="0" fieldPosition="0">
        <references count="2">
          <reference field="4294967294" count="1" selected="0">
            <x v="0"/>
          </reference>
          <reference field="5" count="1" selected="0">
            <x v="4"/>
          </reference>
        </references>
      </pivotArea>
    </chartFormat>
    <chartFormat chart="59" format="78">
      <pivotArea type="data" outline="0" fieldPosition="0">
        <references count="2">
          <reference field="4294967294" count="1" selected="0">
            <x v="0"/>
          </reference>
          <reference field="5" count="1" selected="0">
            <x v="5"/>
          </reference>
        </references>
      </pivotArea>
    </chartFormat>
    <chartFormat chart="59" format="79">
      <pivotArea type="data" outline="0" fieldPosition="0">
        <references count="2">
          <reference field="4294967294" count="1" selected="0">
            <x v="0"/>
          </reference>
          <reference field="5" count="1" selected="0">
            <x v="7"/>
          </reference>
        </references>
      </pivotArea>
    </chartFormat>
    <chartFormat chart="59" format="80">
      <pivotArea type="data" outline="0" fieldPosition="0">
        <references count="2">
          <reference field="4294967294" count="1" selected="0">
            <x v="0"/>
          </reference>
          <reference field="5" count="1" selected="0">
            <x v="8"/>
          </reference>
        </references>
      </pivotArea>
    </chartFormat>
    <chartFormat chart="59" format="81">
      <pivotArea type="data" outline="0" fieldPosition="0">
        <references count="2">
          <reference field="4294967294" count="1" selected="0">
            <x v="0"/>
          </reference>
          <reference field="5" count="1" selected="0">
            <x v="10"/>
          </reference>
        </references>
      </pivotArea>
    </chartFormat>
    <chartFormat chart="59" format="82">
      <pivotArea type="data" outline="0" fieldPosition="0">
        <references count="2">
          <reference field="4294967294" count="1" selected="0">
            <x v="0"/>
          </reference>
          <reference field="5" count="1" selected="0">
            <x v="12"/>
          </reference>
        </references>
      </pivotArea>
    </chartFormat>
    <chartFormat chart="62" format="83" series="1">
      <pivotArea type="data" outline="0" fieldPosition="0">
        <references count="1">
          <reference field="4294967294" count="1" selected="0">
            <x v="0"/>
          </reference>
        </references>
      </pivotArea>
    </chartFormat>
    <chartFormat chart="62" format="84">
      <pivotArea type="data" outline="0" fieldPosition="0">
        <references count="2">
          <reference field="4294967294" count="1" selected="0">
            <x v="0"/>
          </reference>
          <reference field="5" count="1" selected="0">
            <x v="0"/>
          </reference>
        </references>
      </pivotArea>
    </chartFormat>
    <chartFormat chart="62" format="85">
      <pivotArea type="data" outline="0" fieldPosition="0">
        <references count="2">
          <reference field="4294967294" count="1" selected="0">
            <x v="0"/>
          </reference>
          <reference field="5" count="1" selected="0">
            <x v="1"/>
          </reference>
        </references>
      </pivotArea>
    </chartFormat>
    <chartFormat chart="62" format="86">
      <pivotArea type="data" outline="0" fieldPosition="0">
        <references count="2">
          <reference field="4294967294" count="1" selected="0">
            <x v="0"/>
          </reference>
          <reference field="5" count="1" selected="0">
            <x v="2"/>
          </reference>
        </references>
      </pivotArea>
    </chartFormat>
    <chartFormat chart="62" format="87">
      <pivotArea type="data" outline="0" fieldPosition="0">
        <references count="2">
          <reference field="4294967294" count="1" selected="0">
            <x v="0"/>
          </reference>
          <reference field="5" count="1" selected="0">
            <x v="3"/>
          </reference>
        </references>
      </pivotArea>
    </chartFormat>
    <chartFormat chart="62" format="88">
      <pivotArea type="data" outline="0" fieldPosition="0">
        <references count="2">
          <reference field="4294967294" count="1" selected="0">
            <x v="0"/>
          </reference>
          <reference field="5" count="1" selected="0">
            <x v="4"/>
          </reference>
        </references>
      </pivotArea>
    </chartFormat>
    <chartFormat chart="62" format="89">
      <pivotArea type="data" outline="0" fieldPosition="0">
        <references count="2">
          <reference field="4294967294" count="1" selected="0">
            <x v="0"/>
          </reference>
          <reference field="5" count="1" selected="0">
            <x v="5"/>
          </reference>
        </references>
      </pivotArea>
    </chartFormat>
    <chartFormat chart="62" format="90">
      <pivotArea type="data" outline="0" fieldPosition="0">
        <references count="2">
          <reference field="4294967294" count="1" selected="0">
            <x v="0"/>
          </reference>
          <reference field="5" count="1" selected="0">
            <x v="6"/>
          </reference>
        </references>
      </pivotArea>
    </chartFormat>
    <chartFormat chart="62" format="91">
      <pivotArea type="data" outline="0" fieldPosition="0">
        <references count="2">
          <reference field="4294967294" count="1" selected="0">
            <x v="0"/>
          </reference>
          <reference field="5" count="1" selected="0">
            <x v="7"/>
          </reference>
        </references>
      </pivotArea>
    </chartFormat>
    <chartFormat chart="62" format="92">
      <pivotArea type="data" outline="0" fieldPosition="0">
        <references count="2">
          <reference field="4294967294" count="1" selected="0">
            <x v="0"/>
          </reference>
          <reference field="5" count="1" selected="0">
            <x v="8"/>
          </reference>
        </references>
      </pivotArea>
    </chartFormat>
    <chartFormat chart="62" format="93">
      <pivotArea type="data" outline="0" fieldPosition="0">
        <references count="2">
          <reference field="4294967294" count="1" selected="0">
            <x v="0"/>
          </reference>
          <reference field="5" count="1" selected="0">
            <x v="9"/>
          </reference>
        </references>
      </pivotArea>
    </chartFormat>
    <chartFormat chart="62" format="94">
      <pivotArea type="data" outline="0" fieldPosition="0">
        <references count="2">
          <reference field="4294967294" count="1" selected="0">
            <x v="0"/>
          </reference>
          <reference field="5" count="1" selected="0">
            <x v="10"/>
          </reference>
        </references>
      </pivotArea>
    </chartFormat>
    <chartFormat chart="62" format="95">
      <pivotArea type="data" outline="0" fieldPosition="0">
        <references count="2">
          <reference field="4294967294" count="1" selected="0">
            <x v="0"/>
          </reference>
          <reference field="5" count="1" selected="0">
            <x v="12"/>
          </reference>
        </references>
      </pivotArea>
    </chartFormat>
    <chartFormat chart="63" format="96" series="1">
      <pivotArea type="data" outline="0" fieldPosition="0">
        <references count="1">
          <reference field="4294967294" count="1" selected="0">
            <x v="0"/>
          </reference>
        </references>
      </pivotArea>
    </chartFormat>
    <chartFormat chart="63" format="97">
      <pivotArea type="data" outline="0" fieldPosition="0">
        <references count="2">
          <reference field="4294967294" count="1" selected="0">
            <x v="0"/>
          </reference>
          <reference field="5" count="1" selected="0">
            <x v="0"/>
          </reference>
        </references>
      </pivotArea>
    </chartFormat>
    <chartFormat chart="63" format="98">
      <pivotArea type="data" outline="0" fieldPosition="0">
        <references count="2">
          <reference field="4294967294" count="1" selected="0">
            <x v="0"/>
          </reference>
          <reference field="5" count="1" selected="0">
            <x v="1"/>
          </reference>
        </references>
      </pivotArea>
    </chartFormat>
    <chartFormat chart="63" format="99">
      <pivotArea type="data" outline="0" fieldPosition="0">
        <references count="2">
          <reference field="4294967294" count="1" selected="0">
            <x v="0"/>
          </reference>
          <reference field="5" count="1" selected="0">
            <x v="2"/>
          </reference>
        </references>
      </pivotArea>
    </chartFormat>
    <chartFormat chart="63" format="100">
      <pivotArea type="data" outline="0" fieldPosition="0">
        <references count="2">
          <reference field="4294967294" count="1" selected="0">
            <x v="0"/>
          </reference>
          <reference field="5" count="1" selected="0">
            <x v="3"/>
          </reference>
        </references>
      </pivotArea>
    </chartFormat>
    <chartFormat chart="63" format="101">
      <pivotArea type="data" outline="0" fieldPosition="0">
        <references count="2">
          <reference field="4294967294" count="1" selected="0">
            <x v="0"/>
          </reference>
          <reference field="5" count="1" selected="0">
            <x v="4"/>
          </reference>
        </references>
      </pivotArea>
    </chartFormat>
    <chartFormat chart="63" format="102">
      <pivotArea type="data" outline="0" fieldPosition="0">
        <references count="2">
          <reference field="4294967294" count="1" selected="0">
            <x v="0"/>
          </reference>
          <reference field="5" count="1" selected="0">
            <x v="5"/>
          </reference>
        </references>
      </pivotArea>
    </chartFormat>
    <chartFormat chart="63" format="103">
      <pivotArea type="data" outline="0" fieldPosition="0">
        <references count="2">
          <reference field="4294967294" count="1" selected="0">
            <x v="0"/>
          </reference>
          <reference field="5" count="1" selected="0">
            <x v="6"/>
          </reference>
        </references>
      </pivotArea>
    </chartFormat>
    <chartFormat chart="63" format="104">
      <pivotArea type="data" outline="0" fieldPosition="0">
        <references count="2">
          <reference field="4294967294" count="1" selected="0">
            <x v="0"/>
          </reference>
          <reference field="5" count="1" selected="0">
            <x v="7"/>
          </reference>
        </references>
      </pivotArea>
    </chartFormat>
    <chartFormat chart="63" format="105">
      <pivotArea type="data" outline="0" fieldPosition="0">
        <references count="2">
          <reference field="4294967294" count="1" selected="0">
            <x v="0"/>
          </reference>
          <reference field="5" count="1" selected="0">
            <x v="8"/>
          </reference>
        </references>
      </pivotArea>
    </chartFormat>
    <chartFormat chart="63" format="106">
      <pivotArea type="data" outline="0" fieldPosition="0">
        <references count="2">
          <reference field="4294967294" count="1" selected="0">
            <x v="0"/>
          </reference>
          <reference field="5" count="1" selected="0">
            <x v="9"/>
          </reference>
        </references>
      </pivotArea>
    </chartFormat>
    <chartFormat chart="63" format="107">
      <pivotArea type="data" outline="0" fieldPosition="0">
        <references count="2">
          <reference field="4294967294" count="1" selected="0">
            <x v="0"/>
          </reference>
          <reference field="5" count="1" selected="0">
            <x v="10"/>
          </reference>
        </references>
      </pivotArea>
    </chartFormat>
    <chartFormat chart="63" format="108">
      <pivotArea type="data" outline="0" fieldPosition="0">
        <references count="2">
          <reference field="4294967294" count="1" selected="0">
            <x v="0"/>
          </reference>
          <reference field="5" count="1" selected="0">
            <x v="12"/>
          </reference>
        </references>
      </pivotArea>
    </chartFormat>
    <chartFormat chart="67" format="122" series="1">
      <pivotArea type="data" outline="0" fieldPosition="0">
        <references count="1">
          <reference field="4294967294" count="1" selected="0">
            <x v="0"/>
          </reference>
        </references>
      </pivotArea>
    </chartFormat>
    <chartFormat chart="67" format="123">
      <pivotArea type="data" outline="0" fieldPosition="0">
        <references count="2">
          <reference field="4294967294" count="1" selected="0">
            <x v="0"/>
          </reference>
          <reference field="5" count="1" selected="0">
            <x v="0"/>
          </reference>
        </references>
      </pivotArea>
    </chartFormat>
    <chartFormat chart="67" format="124">
      <pivotArea type="data" outline="0" fieldPosition="0">
        <references count="2">
          <reference field="4294967294" count="1" selected="0">
            <x v="0"/>
          </reference>
          <reference field="5" count="1" selected="0">
            <x v="1"/>
          </reference>
        </references>
      </pivotArea>
    </chartFormat>
    <chartFormat chart="67" format="125">
      <pivotArea type="data" outline="0" fieldPosition="0">
        <references count="2">
          <reference field="4294967294" count="1" selected="0">
            <x v="0"/>
          </reference>
          <reference field="5" count="1" selected="0">
            <x v="2"/>
          </reference>
        </references>
      </pivotArea>
    </chartFormat>
    <chartFormat chart="67" format="126">
      <pivotArea type="data" outline="0" fieldPosition="0">
        <references count="2">
          <reference field="4294967294" count="1" selected="0">
            <x v="0"/>
          </reference>
          <reference field="5" count="1" selected="0">
            <x v="3"/>
          </reference>
        </references>
      </pivotArea>
    </chartFormat>
    <chartFormat chart="67" format="127">
      <pivotArea type="data" outline="0" fieldPosition="0">
        <references count="2">
          <reference field="4294967294" count="1" selected="0">
            <x v="0"/>
          </reference>
          <reference field="5" count="1" selected="0">
            <x v="4"/>
          </reference>
        </references>
      </pivotArea>
    </chartFormat>
    <chartFormat chart="67" format="128">
      <pivotArea type="data" outline="0" fieldPosition="0">
        <references count="2">
          <reference field="4294967294" count="1" selected="0">
            <x v="0"/>
          </reference>
          <reference field="5" count="1" selected="0">
            <x v="5"/>
          </reference>
        </references>
      </pivotArea>
    </chartFormat>
    <chartFormat chart="67" format="129">
      <pivotArea type="data" outline="0" fieldPosition="0">
        <references count="2">
          <reference field="4294967294" count="1" selected="0">
            <x v="0"/>
          </reference>
          <reference field="5" count="1" selected="0">
            <x v="6"/>
          </reference>
        </references>
      </pivotArea>
    </chartFormat>
    <chartFormat chart="67" format="130">
      <pivotArea type="data" outline="0" fieldPosition="0">
        <references count="2">
          <reference field="4294967294" count="1" selected="0">
            <x v="0"/>
          </reference>
          <reference field="5" count="1" selected="0">
            <x v="7"/>
          </reference>
        </references>
      </pivotArea>
    </chartFormat>
    <chartFormat chart="67" format="131">
      <pivotArea type="data" outline="0" fieldPosition="0">
        <references count="2">
          <reference field="4294967294" count="1" selected="0">
            <x v="0"/>
          </reference>
          <reference field="5" count="1" selected="0">
            <x v="8"/>
          </reference>
        </references>
      </pivotArea>
    </chartFormat>
    <chartFormat chart="67" format="132">
      <pivotArea type="data" outline="0" fieldPosition="0">
        <references count="2">
          <reference field="4294967294" count="1" selected="0">
            <x v="0"/>
          </reference>
          <reference field="5" count="1" selected="0">
            <x v="9"/>
          </reference>
        </references>
      </pivotArea>
    </chartFormat>
    <chartFormat chart="67" format="133">
      <pivotArea type="data" outline="0" fieldPosition="0">
        <references count="2">
          <reference field="4294967294" count="1" selected="0">
            <x v="0"/>
          </reference>
          <reference field="5" count="1" selected="0">
            <x v="10"/>
          </reference>
        </references>
      </pivotArea>
    </chartFormat>
    <chartFormat chart="67" format="134">
      <pivotArea type="data" outline="0" fieldPosition="0">
        <references count="2">
          <reference field="4294967294" count="1" selected="0">
            <x v="0"/>
          </reference>
          <reference field="5" count="1" selected="0">
            <x v="12"/>
          </reference>
        </references>
      </pivotArea>
    </chartFormat>
    <chartFormat chart="67" format="135">
      <pivotArea type="data" outline="0" fieldPosition="0">
        <references count="2">
          <reference field="4294967294" count="1" selected="0">
            <x v="0"/>
          </reference>
          <reference field="5" count="1" selected="0">
            <x v="13"/>
          </reference>
        </references>
      </pivotArea>
    </chartFormat>
    <chartFormat chart="63" format="109">
      <pivotArea type="data" outline="0" fieldPosition="0">
        <references count="2">
          <reference field="4294967294" count="1" selected="0">
            <x v="0"/>
          </reference>
          <reference field="5"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A583B4-F408-9249-AEB4-D9CBF536A839}" name="PivotTable2" cacheId="24" applyNumberFormats="0" applyBorderFormats="0" applyFontFormats="0" applyPatternFormats="0" applyAlignmentFormats="0" applyWidthHeightFormats="1" dataCaption="Values" updatedVersion="6" minRefreshableVersion="5" useAutoFormatting="1" itemPrintTitles="1" createdVersion="6" indent="0" showHeaders="0" outline="1" outlineData="1" multipleFieldFilters="0" chartFormat="31">
  <location ref="A3:B16" firstHeaderRow="1" firstDataRow="1" firstDataCol="1"/>
  <pivotFields count="14">
    <pivotField showAll="0"/>
    <pivotField showAll="0"/>
    <pivotField showAll="0"/>
    <pivotField axis="axisRow" dataField="1" showAll="0" sortType="descending">
      <items count="83">
        <item x="8"/>
        <item x="1"/>
        <item x="2"/>
        <item x="11"/>
        <item x="10"/>
        <item x="5"/>
        <item x="0"/>
        <item m="1" x="20"/>
        <item x="4"/>
        <item x="9"/>
        <item x="7"/>
        <item x="3"/>
        <item m="1" x="36"/>
        <item m="1" x="33"/>
        <item m="1" x="77"/>
        <item m="1" x="68"/>
        <item m="1" x="47"/>
        <item m="1" x="59"/>
        <item m="1" x="76"/>
        <item m="1" x="54"/>
        <item m="1" x="57"/>
        <item m="1" x="30"/>
        <item m="1" x="71"/>
        <item m="1" x="52"/>
        <item m="1" x="64"/>
        <item m="1" x="45"/>
        <item m="1" x="63"/>
        <item m="1" x="16"/>
        <item m="1" x="17"/>
        <item m="1" x="56"/>
        <item m="1" x="34"/>
        <item m="1" x="53"/>
        <item m="1" x="32"/>
        <item m="1" x="13"/>
        <item m="1" x="19"/>
        <item m="1" x="27"/>
        <item m="1" x="18"/>
        <item m="1" x="25"/>
        <item m="1" x="72"/>
        <item m="1" x="21"/>
        <item m="1" x="55"/>
        <item m="1" x="40"/>
        <item m="1" x="48"/>
        <item m="1" x="39"/>
        <item m="1" x="81"/>
        <item m="1" x="24"/>
        <item m="1" x="74"/>
        <item m="1" x="23"/>
        <item m="1" x="50"/>
        <item m="1" x="46"/>
        <item m="1" x="61"/>
        <item m="1" x="44"/>
        <item m="1" x="62"/>
        <item m="1" x="79"/>
        <item m="1" x="69"/>
        <item m="1" x="35"/>
        <item m="1" x="42"/>
        <item m="1" x="49"/>
        <item m="1" x="38"/>
        <item m="1" x="37"/>
        <item m="1" x="58"/>
        <item m="1" x="14"/>
        <item m="1" x="66"/>
        <item m="1" x="28"/>
        <item m="1" x="80"/>
        <item m="1" x="41"/>
        <item m="1" x="22"/>
        <item m="1" x="29"/>
        <item m="1" x="67"/>
        <item m="1" x="73"/>
        <item m="1" x="75"/>
        <item m="1" x="43"/>
        <item m="1" x="70"/>
        <item m="1" x="78"/>
        <item m="1" x="60"/>
        <item m="1" x="65"/>
        <item m="1" x="31"/>
        <item m="1" x="15"/>
        <item m="1" x="26"/>
        <item m="1" x="51"/>
        <item m="1" x="12"/>
        <item x="6"/>
        <item t="default"/>
      </items>
      <autoSortScope>
        <pivotArea dataOnly="0" outline="0" fieldPosition="0">
          <references count="1">
            <reference field="4294967294" count="1" selected="0">
              <x v="0"/>
            </reference>
          </references>
        </pivotArea>
      </autoSortScope>
    </pivotField>
    <pivotField showAll="0"/>
    <pivotField multipleItemSelectionAllowed="1" showAll="0">
      <items count="15">
        <item x="3"/>
        <item x="5"/>
        <item x="4"/>
        <item x="10"/>
        <item x="1"/>
        <item x="8"/>
        <item m="1" x="13"/>
        <item x="2"/>
        <item x="11"/>
        <item x="7"/>
        <item x="9"/>
        <item x="6"/>
        <item x="0"/>
        <item m="1" x="12"/>
        <item t="default"/>
      </items>
    </pivotField>
    <pivotField showAll="0">
      <items count="19">
        <item x="0"/>
        <item x="2"/>
        <item x="4"/>
        <item x="9"/>
        <item x="5"/>
        <item x="6"/>
        <item x="7"/>
        <item x="8"/>
        <item x="3"/>
        <item x="15"/>
        <item x="11"/>
        <item x="16"/>
        <item x="12"/>
        <item x="13"/>
        <item x="14"/>
        <item x="1"/>
        <item x="17"/>
        <item x="10"/>
        <item t="default"/>
      </items>
    </pivotField>
    <pivotField showAll="0">
      <items count="5">
        <item h="1" x="2"/>
        <item x="0"/>
        <item h="1" x="1"/>
        <item h="1" x="3"/>
        <item t="default"/>
      </items>
    </pivotField>
    <pivotField numFmtId="14" showAll="0">
      <items count="8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3"/>
  </rowFields>
  <rowItems count="13">
    <i>
      <x v="2"/>
    </i>
    <i>
      <x v="1"/>
    </i>
    <i>
      <x v="6"/>
    </i>
    <i>
      <x v="8"/>
    </i>
    <i>
      <x v="10"/>
    </i>
    <i>
      <x v="11"/>
    </i>
    <i>
      <x v="5"/>
    </i>
    <i>
      <x v="81"/>
    </i>
    <i>
      <x v="9"/>
    </i>
    <i>
      <x v="3"/>
    </i>
    <i>
      <x/>
    </i>
    <i>
      <x v="4"/>
    </i>
    <i t="grand">
      <x/>
    </i>
  </rowItems>
  <colItems count="1">
    <i/>
  </colItems>
  <dataFields count="1">
    <dataField name="Count of Seniority" fld="3" subtotal="count" baseField="0" baseItem="0"/>
  </dataFields>
  <chartFormats count="1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0"/>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3" count="1" selected="0">
            <x v="1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3" count="1" selected="0">
            <x v="10"/>
          </reference>
        </references>
      </pivotArea>
    </chartFormat>
    <chartFormat chart="0" format="2">
      <pivotArea type="data" outline="0" fieldPosition="0">
        <references count="2">
          <reference field="4294967294" count="1" selected="0">
            <x v="0"/>
          </reference>
          <reference field="3" count="1" selected="0">
            <x v="80"/>
          </reference>
        </references>
      </pivotArea>
    </chartFormat>
    <chartFormat chart="0" format="3">
      <pivotArea type="data" outline="0" fieldPosition="0">
        <references count="2">
          <reference field="4294967294" count="1" selected="0">
            <x v="0"/>
          </reference>
          <reference field="3" count="1" selected="0">
            <x v="11"/>
          </reference>
        </references>
      </pivotArea>
    </chartFormat>
    <chartFormat chart="0" format="4">
      <pivotArea type="data" outline="0" fieldPosition="0">
        <references count="2">
          <reference field="4294967294" count="1" selected="0">
            <x v="0"/>
          </reference>
          <reference field="3" count="1" selected="0">
            <x v="5"/>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1"/>
          </reference>
        </references>
      </pivotArea>
    </chartFormat>
    <chartFormat chart="6" format="6">
      <pivotArea type="data" outline="0" fieldPosition="0">
        <references count="2">
          <reference field="4294967294" count="1" selected="0">
            <x v="0"/>
          </reference>
          <reference field="3" count="1" selected="0">
            <x v="1"/>
          </reference>
        </references>
      </pivotArea>
    </chartFormat>
    <chartFormat chart="6" format="7">
      <pivotArea type="data" outline="0" fieldPosition="0">
        <references count="2">
          <reference field="4294967294" count="1" selected="0">
            <x v="0"/>
          </reference>
          <reference field="3" count="1" selected="0">
            <x v="3"/>
          </reference>
        </references>
      </pivotArea>
    </chartFormat>
    <chartFormat chart="6" format="8">
      <pivotArea type="data" outline="0" fieldPosition="0">
        <references count="2">
          <reference field="4294967294" count="1" selected="0">
            <x v="0"/>
          </reference>
          <reference field="3" count="1" selected="0">
            <x v="5"/>
          </reference>
        </references>
      </pivotArea>
    </chartFormat>
    <chartFormat chart="6" format="9">
      <pivotArea type="data" outline="0" fieldPosition="0">
        <references count="2">
          <reference field="4294967294" count="1" selected="0">
            <x v="0"/>
          </reference>
          <reference field="3" count="1" selected="0">
            <x v="11"/>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3" count="1" selected="0">
            <x v="1"/>
          </reference>
        </references>
      </pivotArea>
    </chartFormat>
    <chartFormat chart="13" format="9">
      <pivotArea type="data" outline="0" fieldPosition="0">
        <references count="2">
          <reference field="4294967294" count="1" selected="0">
            <x v="0"/>
          </reference>
          <reference field="3" count="1" selected="0">
            <x v="3"/>
          </reference>
        </references>
      </pivotArea>
    </chartFormat>
    <chartFormat chart="13" format="10">
      <pivotArea type="data" outline="0" fieldPosition="0">
        <references count="2">
          <reference field="4294967294" count="1" selected="0">
            <x v="0"/>
          </reference>
          <reference field="3" count="1" selected="0">
            <x v="5"/>
          </reference>
        </references>
      </pivotArea>
    </chartFormat>
    <chartFormat chart="13" format="11">
      <pivotArea type="data" outline="0" fieldPosition="0">
        <references count="2">
          <reference field="4294967294" count="1" selected="0">
            <x v="0"/>
          </reference>
          <reference field="3" count="1" selected="0">
            <x v="10"/>
          </reference>
        </references>
      </pivotArea>
    </chartFormat>
    <chartFormat chart="13" format="12">
      <pivotArea type="data" outline="0" fieldPosition="0">
        <references count="2">
          <reference field="4294967294" count="1" selected="0">
            <x v="0"/>
          </reference>
          <reference field="3" count="1" selected="0">
            <x v="11"/>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3" count="1" selected="0">
            <x v="1"/>
          </reference>
        </references>
      </pivotArea>
    </chartFormat>
    <chartFormat chart="14" format="15">
      <pivotArea type="data" outline="0" fieldPosition="0">
        <references count="2">
          <reference field="4294967294" count="1" selected="0">
            <x v="0"/>
          </reference>
          <reference field="3" count="1" selected="0">
            <x v="3"/>
          </reference>
        </references>
      </pivotArea>
    </chartFormat>
    <chartFormat chart="14" format="16">
      <pivotArea type="data" outline="0" fieldPosition="0">
        <references count="2">
          <reference field="4294967294" count="1" selected="0">
            <x v="0"/>
          </reference>
          <reference field="3" count="1" selected="0">
            <x v="5"/>
          </reference>
        </references>
      </pivotArea>
    </chartFormat>
    <chartFormat chart="14" format="17">
      <pivotArea type="data" outline="0" fieldPosition="0">
        <references count="2">
          <reference field="4294967294" count="1" selected="0">
            <x v="0"/>
          </reference>
          <reference field="3" count="1" selected="0">
            <x v="10"/>
          </reference>
        </references>
      </pivotArea>
    </chartFormat>
    <chartFormat chart="14" format="18">
      <pivotArea type="data" outline="0" fieldPosition="0">
        <references count="2">
          <reference field="4294967294" count="1" selected="0">
            <x v="0"/>
          </reference>
          <reference field="3" count="1" selected="0">
            <x v="11"/>
          </reference>
        </references>
      </pivotArea>
    </chartFormat>
    <chartFormat chart="0" format="7">
      <pivotArea type="data" outline="0" fieldPosition="0">
        <references count="2">
          <reference field="4294967294" count="1" selected="0">
            <x v="0"/>
          </reference>
          <reference field="3"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3" count="1" selected="0">
            <x v="1"/>
          </reference>
        </references>
      </pivotArea>
    </chartFormat>
    <chartFormat chart="15" format="10">
      <pivotArea type="data" outline="0" fieldPosition="0">
        <references count="2">
          <reference field="4294967294" count="1" selected="0">
            <x v="0"/>
          </reference>
          <reference field="3" count="1" selected="0">
            <x v="2"/>
          </reference>
        </references>
      </pivotArea>
    </chartFormat>
    <chartFormat chart="15" format="11">
      <pivotArea type="data" outline="0" fieldPosition="0">
        <references count="2">
          <reference field="4294967294" count="1" selected="0">
            <x v="0"/>
          </reference>
          <reference field="3" count="1" selected="0">
            <x v="3"/>
          </reference>
        </references>
      </pivotArea>
    </chartFormat>
    <chartFormat chart="15" format="12">
      <pivotArea type="data" outline="0" fieldPosition="0">
        <references count="2">
          <reference field="4294967294" count="1" selected="0">
            <x v="0"/>
          </reference>
          <reference field="3" count="1" selected="0">
            <x v="5"/>
          </reference>
        </references>
      </pivotArea>
    </chartFormat>
    <chartFormat chart="15" format="13">
      <pivotArea type="data" outline="0" fieldPosition="0">
        <references count="2">
          <reference field="4294967294" count="1" selected="0">
            <x v="0"/>
          </reference>
          <reference field="3" count="1" selected="0">
            <x v="10"/>
          </reference>
        </references>
      </pivotArea>
    </chartFormat>
    <chartFormat chart="15" format="14">
      <pivotArea type="data" outline="0" fieldPosition="0">
        <references count="2">
          <reference field="4294967294" count="1" selected="0">
            <x v="0"/>
          </reference>
          <reference field="3" count="1" selected="0">
            <x v="11"/>
          </reference>
        </references>
      </pivotArea>
    </chartFormat>
    <chartFormat chart="16" format="15" series="1">
      <pivotArea type="data" outline="0" fieldPosition="0">
        <references count="1">
          <reference field="4294967294" count="1" selected="0">
            <x v="0"/>
          </reference>
        </references>
      </pivotArea>
    </chartFormat>
    <chartFormat chart="16" format="16">
      <pivotArea type="data" outline="0" fieldPosition="0">
        <references count="2">
          <reference field="4294967294" count="1" selected="0">
            <x v="0"/>
          </reference>
          <reference field="3" count="1" selected="0">
            <x v="1"/>
          </reference>
        </references>
      </pivotArea>
    </chartFormat>
    <chartFormat chart="16" format="17">
      <pivotArea type="data" outline="0" fieldPosition="0">
        <references count="2">
          <reference field="4294967294" count="1" selected="0">
            <x v="0"/>
          </reference>
          <reference field="3" count="1" selected="0">
            <x v="2"/>
          </reference>
        </references>
      </pivotArea>
    </chartFormat>
    <chartFormat chart="16" format="18">
      <pivotArea type="data" outline="0" fieldPosition="0">
        <references count="2">
          <reference field="4294967294" count="1" selected="0">
            <x v="0"/>
          </reference>
          <reference field="3" count="1" selected="0">
            <x v="3"/>
          </reference>
        </references>
      </pivotArea>
    </chartFormat>
    <chartFormat chart="16" format="19">
      <pivotArea type="data" outline="0" fieldPosition="0">
        <references count="2">
          <reference field="4294967294" count="1" selected="0">
            <x v="0"/>
          </reference>
          <reference field="3" count="1" selected="0">
            <x v="5"/>
          </reference>
        </references>
      </pivotArea>
    </chartFormat>
    <chartFormat chart="16" format="20">
      <pivotArea type="data" outline="0" fieldPosition="0">
        <references count="2">
          <reference field="4294967294" count="1" selected="0">
            <x v="0"/>
          </reference>
          <reference field="3" count="1" selected="0">
            <x v="10"/>
          </reference>
        </references>
      </pivotArea>
    </chartFormat>
    <chartFormat chart="16" format="21">
      <pivotArea type="data" outline="0" fieldPosition="0">
        <references count="2">
          <reference field="4294967294" count="1" selected="0">
            <x v="0"/>
          </reference>
          <reference field="3" count="1" selected="0">
            <x v="11"/>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3" count="1" selected="0">
            <x v="1"/>
          </reference>
        </references>
      </pivotArea>
    </chartFormat>
    <chartFormat chart="19" format="10">
      <pivotArea type="data" outline="0" fieldPosition="0">
        <references count="2">
          <reference field="4294967294" count="1" selected="0">
            <x v="0"/>
          </reference>
          <reference field="3" count="1" selected="0">
            <x v="2"/>
          </reference>
        </references>
      </pivotArea>
    </chartFormat>
    <chartFormat chart="19" format="11">
      <pivotArea type="data" outline="0" fieldPosition="0">
        <references count="2">
          <reference field="4294967294" count="1" selected="0">
            <x v="0"/>
          </reference>
          <reference field="3" count="1" selected="0">
            <x v="3"/>
          </reference>
        </references>
      </pivotArea>
    </chartFormat>
    <chartFormat chart="19" format="12">
      <pivotArea type="data" outline="0" fieldPosition="0">
        <references count="2">
          <reference field="4294967294" count="1" selected="0">
            <x v="0"/>
          </reference>
          <reference field="3" count="1" selected="0">
            <x v="5"/>
          </reference>
        </references>
      </pivotArea>
    </chartFormat>
    <chartFormat chart="19" format="13">
      <pivotArea type="data" outline="0" fieldPosition="0">
        <references count="2">
          <reference field="4294967294" count="1" selected="0">
            <x v="0"/>
          </reference>
          <reference field="3" count="1" selected="0">
            <x v="10"/>
          </reference>
        </references>
      </pivotArea>
    </chartFormat>
    <chartFormat chart="19" format="14">
      <pivotArea type="data" outline="0" fieldPosition="0">
        <references count="2">
          <reference field="4294967294" count="1" selected="0">
            <x v="0"/>
          </reference>
          <reference field="3" count="1" selected="0">
            <x v="11"/>
          </reference>
        </references>
      </pivotArea>
    </chartFormat>
    <chartFormat chart="20" format="15" series="1">
      <pivotArea type="data" outline="0" fieldPosition="0">
        <references count="1">
          <reference field="4294967294" count="1" selected="0">
            <x v="0"/>
          </reference>
        </references>
      </pivotArea>
    </chartFormat>
    <chartFormat chart="20" format="16">
      <pivotArea type="data" outline="0" fieldPosition="0">
        <references count="2">
          <reference field="4294967294" count="1" selected="0">
            <x v="0"/>
          </reference>
          <reference field="3" count="1" selected="0">
            <x v="1"/>
          </reference>
        </references>
      </pivotArea>
    </chartFormat>
    <chartFormat chart="20" format="17">
      <pivotArea type="data" outline="0" fieldPosition="0">
        <references count="2">
          <reference field="4294967294" count="1" selected="0">
            <x v="0"/>
          </reference>
          <reference field="3" count="1" selected="0">
            <x v="2"/>
          </reference>
        </references>
      </pivotArea>
    </chartFormat>
    <chartFormat chart="20" format="18">
      <pivotArea type="data" outline="0" fieldPosition="0">
        <references count="2">
          <reference field="4294967294" count="1" selected="0">
            <x v="0"/>
          </reference>
          <reference field="3" count="1" selected="0">
            <x v="3"/>
          </reference>
        </references>
      </pivotArea>
    </chartFormat>
    <chartFormat chart="20" format="19">
      <pivotArea type="data" outline="0" fieldPosition="0">
        <references count="2">
          <reference field="4294967294" count="1" selected="0">
            <x v="0"/>
          </reference>
          <reference field="3" count="1" selected="0">
            <x v="5"/>
          </reference>
        </references>
      </pivotArea>
    </chartFormat>
    <chartFormat chart="20" format="20">
      <pivotArea type="data" outline="0" fieldPosition="0">
        <references count="2">
          <reference field="4294967294" count="1" selected="0">
            <x v="0"/>
          </reference>
          <reference field="3" count="1" selected="0">
            <x v="10"/>
          </reference>
        </references>
      </pivotArea>
    </chartFormat>
    <chartFormat chart="20" format="21">
      <pivotArea type="data" outline="0" fieldPosition="0">
        <references count="2">
          <reference field="4294967294" count="1" selected="0">
            <x v="0"/>
          </reference>
          <reference field="3" count="1" selected="0">
            <x v="11"/>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3" count="1" selected="0">
            <x v="3"/>
          </reference>
        </references>
      </pivotArea>
    </chartFormat>
    <chartFormat chart="21" format="10">
      <pivotArea type="data" outline="0" fieldPosition="0">
        <references count="2">
          <reference field="4294967294" count="1" selected="0">
            <x v="0"/>
          </reference>
          <reference field="3" count="1" selected="0">
            <x v="5"/>
          </reference>
        </references>
      </pivotArea>
    </chartFormat>
    <chartFormat chart="21" format="11">
      <pivotArea type="data" outline="0" fieldPosition="0">
        <references count="2">
          <reference field="4294967294" count="1" selected="0">
            <x v="0"/>
          </reference>
          <reference field="3" count="1" selected="0">
            <x v="11"/>
          </reference>
        </references>
      </pivotArea>
    </chartFormat>
    <chartFormat chart="21" format="12">
      <pivotArea type="data" outline="0" fieldPosition="0">
        <references count="2">
          <reference field="4294967294" count="1" selected="0">
            <x v="0"/>
          </reference>
          <reference field="3" count="1" selected="0">
            <x v="10"/>
          </reference>
        </references>
      </pivotArea>
    </chartFormat>
    <chartFormat chart="21" format="13">
      <pivotArea type="data" outline="0" fieldPosition="0">
        <references count="2">
          <reference field="4294967294" count="1" selected="0">
            <x v="0"/>
          </reference>
          <reference field="3" count="1" selected="0">
            <x v="1"/>
          </reference>
        </references>
      </pivotArea>
    </chartFormat>
    <chartFormat chart="21" format="14">
      <pivotArea type="data" outline="0" fieldPosition="0">
        <references count="2">
          <reference field="4294967294" count="1" selected="0">
            <x v="0"/>
          </reference>
          <reference field="3" count="1" selected="0">
            <x v="2"/>
          </reference>
        </references>
      </pivotArea>
    </chartFormat>
    <chartFormat chart="20" format="22">
      <pivotArea type="data" outline="0" fieldPosition="0">
        <references count="2">
          <reference field="4294967294" count="1" selected="0">
            <x v="0"/>
          </reference>
          <reference field="3" count="1" selected="0">
            <x v="8"/>
          </reference>
        </references>
      </pivotArea>
    </chartFormat>
    <chartFormat chart="20" format="23">
      <pivotArea type="data" outline="0" fieldPosition="0">
        <references count="2">
          <reference field="4294967294" count="1" selected="0">
            <x v="0"/>
          </reference>
          <reference field="3" count="1" selected="0">
            <x v="6"/>
          </reference>
        </references>
      </pivotArea>
    </chartFormat>
    <chartFormat chart="20" format="24">
      <pivotArea type="data" outline="0" fieldPosition="0">
        <references count="2">
          <reference field="4294967294" count="1" selected="0">
            <x v="0"/>
          </reference>
          <reference field="3" count="1" selected="0">
            <x v="7"/>
          </reference>
        </references>
      </pivotArea>
    </chartFormat>
    <chartFormat chart="20" format="25">
      <pivotArea type="data" outline="0" fieldPosition="0">
        <references count="2">
          <reference field="4294967294" count="1" selected="0">
            <x v="0"/>
          </reference>
          <reference field="3" count="1" selected="0">
            <x v="9"/>
          </reference>
        </references>
      </pivotArea>
    </chartFormat>
    <chartFormat chart="20" format="26">
      <pivotArea type="data" outline="0" fieldPosition="0">
        <references count="2">
          <reference field="4294967294" count="1" selected="0">
            <x v="0"/>
          </reference>
          <reference field="3" count="1" selected="0">
            <x v="0"/>
          </reference>
        </references>
      </pivotArea>
    </chartFormat>
    <chartFormat chart="20" format="27">
      <pivotArea type="data" outline="0" fieldPosition="0">
        <references count="2">
          <reference field="4294967294" count="1" selected="0">
            <x v="0"/>
          </reference>
          <reference field="3" count="1" selected="0">
            <x v="4"/>
          </reference>
        </references>
      </pivotArea>
    </chartFormat>
    <chartFormat chart="27" format="28" series="1">
      <pivotArea type="data" outline="0" fieldPosition="0">
        <references count="1">
          <reference field="4294967294" count="1" selected="0">
            <x v="0"/>
          </reference>
        </references>
      </pivotArea>
    </chartFormat>
    <chartFormat chart="27" format="29">
      <pivotArea type="data" outline="0" fieldPosition="0">
        <references count="2">
          <reference field="4294967294" count="1" selected="0">
            <x v="0"/>
          </reference>
          <reference field="3" count="1" selected="0">
            <x v="2"/>
          </reference>
        </references>
      </pivotArea>
    </chartFormat>
    <chartFormat chart="27" format="30">
      <pivotArea type="data" outline="0" fieldPosition="0">
        <references count="2">
          <reference field="4294967294" count="1" selected="0">
            <x v="0"/>
          </reference>
          <reference field="3" count="1" selected="0">
            <x v="6"/>
          </reference>
        </references>
      </pivotArea>
    </chartFormat>
    <chartFormat chart="27" format="31">
      <pivotArea type="data" outline="0" fieldPosition="0">
        <references count="2">
          <reference field="4294967294" count="1" selected="0">
            <x v="0"/>
          </reference>
          <reference field="3" count="1" selected="0">
            <x v="1"/>
          </reference>
        </references>
      </pivotArea>
    </chartFormat>
    <chartFormat chart="27" format="32">
      <pivotArea type="data" outline="0" fieldPosition="0">
        <references count="2">
          <reference field="4294967294" count="1" selected="0">
            <x v="0"/>
          </reference>
          <reference field="3" count="1" selected="0">
            <x v="8"/>
          </reference>
        </references>
      </pivotArea>
    </chartFormat>
    <chartFormat chart="27" format="33">
      <pivotArea type="data" outline="0" fieldPosition="0">
        <references count="2">
          <reference field="4294967294" count="1" selected="0">
            <x v="0"/>
          </reference>
          <reference field="3" count="1" selected="0">
            <x v="10"/>
          </reference>
        </references>
      </pivotArea>
    </chartFormat>
    <chartFormat chart="27" format="34">
      <pivotArea type="data" outline="0" fieldPosition="0">
        <references count="2">
          <reference field="4294967294" count="1" selected="0">
            <x v="0"/>
          </reference>
          <reference field="3" count="1" selected="0">
            <x v="11"/>
          </reference>
        </references>
      </pivotArea>
    </chartFormat>
    <chartFormat chart="27" format="35">
      <pivotArea type="data" outline="0" fieldPosition="0">
        <references count="2">
          <reference field="4294967294" count="1" selected="0">
            <x v="0"/>
          </reference>
          <reference field="3" count="1" selected="0">
            <x v="5"/>
          </reference>
        </references>
      </pivotArea>
    </chartFormat>
    <chartFormat chart="27" format="36">
      <pivotArea type="data" outline="0" fieldPosition="0">
        <references count="2">
          <reference field="4294967294" count="1" selected="0">
            <x v="0"/>
          </reference>
          <reference field="3" count="1" selected="0">
            <x v="7"/>
          </reference>
        </references>
      </pivotArea>
    </chartFormat>
    <chartFormat chart="27" format="37">
      <pivotArea type="data" outline="0" fieldPosition="0">
        <references count="2">
          <reference field="4294967294" count="1" selected="0">
            <x v="0"/>
          </reference>
          <reference field="3" count="1" selected="0">
            <x v="9"/>
          </reference>
        </references>
      </pivotArea>
    </chartFormat>
    <chartFormat chart="27" format="38">
      <pivotArea type="data" outline="0" fieldPosition="0">
        <references count="2">
          <reference field="4294967294" count="1" selected="0">
            <x v="0"/>
          </reference>
          <reference field="3" count="1" selected="0">
            <x v="0"/>
          </reference>
        </references>
      </pivotArea>
    </chartFormat>
    <chartFormat chart="27" format="39">
      <pivotArea type="data" outline="0" fieldPosition="0">
        <references count="2">
          <reference field="4294967294" count="1" selected="0">
            <x v="0"/>
          </reference>
          <reference field="3" count="1" selected="0">
            <x v="3"/>
          </reference>
        </references>
      </pivotArea>
    </chartFormat>
    <chartFormat chart="27" format="40">
      <pivotArea type="data" outline="0" fieldPosition="0">
        <references count="2">
          <reference field="4294967294" count="1" selected="0">
            <x v="0"/>
          </reference>
          <reference field="3" count="1" selected="0">
            <x v="4"/>
          </reference>
        </references>
      </pivotArea>
    </chartFormat>
    <chartFormat chart="28" format="41" series="1">
      <pivotArea type="data" outline="0" fieldPosition="0">
        <references count="1">
          <reference field="4294967294" count="1" selected="0">
            <x v="0"/>
          </reference>
        </references>
      </pivotArea>
    </chartFormat>
    <chartFormat chart="28" format="42">
      <pivotArea type="data" outline="0" fieldPosition="0">
        <references count="2">
          <reference field="4294967294" count="1" selected="0">
            <x v="0"/>
          </reference>
          <reference field="3" count="1" selected="0">
            <x v="2"/>
          </reference>
        </references>
      </pivotArea>
    </chartFormat>
    <chartFormat chart="28" format="43">
      <pivotArea type="data" outline="0" fieldPosition="0">
        <references count="2">
          <reference field="4294967294" count="1" selected="0">
            <x v="0"/>
          </reference>
          <reference field="3" count="1" selected="0">
            <x v="6"/>
          </reference>
        </references>
      </pivotArea>
    </chartFormat>
    <chartFormat chart="28" format="44">
      <pivotArea type="data" outline="0" fieldPosition="0">
        <references count="2">
          <reference field="4294967294" count="1" selected="0">
            <x v="0"/>
          </reference>
          <reference field="3" count="1" selected="0">
            <x v="1"/>
          </reference>
        </references>
      </pivotArea>
    </chartFormat>
    <chartFormat chart="28" format="45">
      <pivotArea type="data" outline="0" fieldPosition="0">
        <references count="2">
          <reference field="4294967294" count="1" selected="0">
            <x v="0"/>
          </reference>
          <reference field="3" count="1" selected="0">
            <x v="8"/>
          </reference>
        </references>
      </pivotArea>
    </chartFormat>
    <chartFormat chart="28" format="46">
      <pivotArea type="data" outline="0" fieldPosition="0">
        <references count="2">
          <reference field="4294967294" count="1" selected="0">
            <x v="0"/>
          </reference>
          <reference field="3" count="1" selected="0">
            <x v="10"/>
          </reference>
        </references>
      </pivotArea>
    </chartFormat>
    <chartFormat chart="28" format="47">
      <pivotArea type="data" outline="0" fieldPosition="0">
        <references count="2">
          <reference field="4294967294" count="1" selected="0">
            <x v="0"/>
          </reference>
          <reference field="3" count="1" selected="0">
            <x v="11"/>
          </reference>
        </references>
      </pivotArea>
    </chartFormat>
    <chartFormat chart="28" format="48">
      <pivotArea type="data" outline="0" fieldPosition="0">
        <references count="2">
          <reference field="4294967294" count="1" selected="0">
            <x v="0"/>
          </reference>
          <reference field="3" count="1" selected="0">
            <x v="5"/>
          </reference>
        </references>
      </pivotArea>
    </chartFormat>
    <chartFormat chart="28" format="49">
      <pivotArea type="data" outline="0" fieldPosition="0">
        <references count="2">
          <reference field="4294967294" count="1" selected="0">
            <x v="0"/>
          </reference>
          <reference field="3" count="1" selected="0">
            <x v="7"/>
          </reference>
        </references>
      </pivotArea>
    </chartFormat>
    <chartFormat chart="28" format="50">
      <pivotArea type="data" outline="0" fieldPosition="0">
        <references count="2">
          <reference field="4294967294" count="1" selected="0">
            <x v="0"/>
          </reference>
          <reference field="3" count="1" selected="0">
            <x v="9"/>
          </reference>
        </references>
      </pivotArea>
    </chartFormat>
    <chartFormat chart="28" format="51">
      <pivotArea type="data" outline="0" fieldPosition="0">
        <references count="2">
          <reference field="4294967294" count="1" selected="0">
            <x v="0"/>
          </reference>
          <reference field="3" count="1" selected="0">
            <x v="0"/>
          </reference>
        </references>
      </pivotArea>
    </chartFormat>
    <chartFormat chart="28" format="52">
      <pivotArea type="data" outline="0" fieldPosition="0">
        <references count="2">
          <reference field="4294967294" count="1" selected="0">
            <x v="0"/>
          </reference>
          <reference field="3" count="1" selected="0">
            <x v="3"/>
          </reference>
        </references>
      </pivotArea>
    </chartFormat>
    <chartFormat chart="28" format="53">
      <pivotArea type="data" outline="0" fieldPosition="0">
        <references count="2">
          <reference field="4294967294" count="1" selected="0">
            <x v="0"/>
          </reference>
          <reference field="3" count="1" selected="0">
            <x v="4"/>
          </reference>
        </references>
      </pivotArea>
    </chartFormat>
    <chartFormat chart="30" format="67" series="1">
      <pivotArea type="data" outline="0" fieldPosition="0">
        <references count="1">
          <reference field="4294967294" count="1" selected="0">
            <x v="0"/>
          </reference>
        </references>
      </pivotArea>
    </chartFormat>
    <chartFormat chart="30" format="68">
      <pivotArea type="data" outline="0" fieldPosition="0">
        <references count="2">
          <reference field="4294967294" count="1" selected="0">
            <x v="0"/>
          </reference>
          <reference field="3" count="1" selected="0">
            <x v="2"/>
          </reference>
        </references>
      </pivotArea>
    </chartFormat>
    <chartFormat chart="30" format="69">
      <pivotArea type="data" outline="0" fieldPosition="0">
        <references count="2">
          <reference field="4294967294" count="1" selected="0">
            <x v="0"/>
          </reference>
          <reference field="3" count="1" selected="0">
            <x v="1"/>
          </reference>
        </references>
      </pivotArea>
    </chartFormat>
    <chartFormat chart="30" format="70">
      <pivotArea type="data" outline="0" fieldPosition="0">
        <references count="2">
          <reference field="4294967294" count="1" selected="0">
            <x v="0"/>
          </reference>
          <reference field="3" count="1" selected="0">
            <x v="6"/>
          </reference>
        </references>
      </pivotArea>
    </chartFormat>
    <chartFormat chart="30" format="71">
      <pivotArea type="data" outline="0" fieldPosition="0">
        <references count="2">
          <reference field="4294967294" count="1" selected="0">
            <x v="0"/>
          </reference>
          <reference field="3" count="1" selected="0">
            <x v="8"/>
          </reference>
        </references>
      </pivotArea>
    </chartFormat>
    <chartFormat chart="30" format="72">
      <pivotArea type="data" outline="0" fieldPosition="0">
        <references count="2">
          <reference field="4294967294" count="1" selected="0">
            <x v="0"/>
          </reference>
          <reference field="3" count="1" selected="0">
            <x v="10"/>
          </reference>
        </references>
      </pivotArea>
    </chartFormat>
    <chartFormat chart="30" format="73">
      <pivotArea type="data" outline="0" fieldPosition="0">
        <references count="2">
          <reference field="4294967294" count="1" selected="0">
            <x v="0"/>
          </reference>
          <reference field="3" count="1" selected="0">
            <x v="11"/>
          </reference>
        </references>
      </pivotArea>
    </chartFormat>
    <chartFormat chart="30" format="74">
      <pivotArea type="data" outline="0" fieldPosition="0">
        <references count="2">
          <reference field="4294967294" count="1" selected="0">
            <x v="0"/>
          </reference>
          <reference field="3" count="1" selected="0">
            <x v="5"/>
          </reference>
        </references>
      </pivotArea>
    </chartFormat>
    <chartFormat chart="30" format="75">
      <pivotArea type="data" outline="0" fieldPosition="0">
        <references count="2">
          <reference field="4294967294" count="1" selected="0">
            <x v="0"/>
          </reference>
          <reference field="3" count="1" selected="0">
            <x v="7"/>
          </reference>
        </references>
      </pivotArea>
    </chartFormat>
    <chartFormat chart="30" format="76">
      <pivotArea type="data" outline="0" fieldPosition="0">
        <references count="2">
          <reference field="4294967294" count="1" selected="0">
            <x v="0"/>
          </reference>
          <reference field="3" count="1" selected="0">
            <x v="9"/>
          </reference>
        </references>
      </pivotArea>
    </chartFormat>
    <chartFormat chart="30" format="77">
      <pivotArea type="data" outline="0" fieldPosition="0">
        <references count="2">
          <reference field="4294967294" count="1" selected="0">
            <x v="0"/>
          </reference>
          <reference field="3" count="1" selected="0">
            <x v="3"/>
          </reference>
        </references>
      </pivotArea>
    </chartFormat>
    <chartFormat chart="30" format="78">
      <pivotArea type="data" outline="0" fieldPosition="0">
        <references count="2">
          <reference field="4294967294" count="1" selected="0">
            <x v="0"/>
          </reference>
          <reference field="3" count="1" selected="0">
            <x v="0"/>
          </reference>
        </references>
      </pivotArea>
    </chartFormat>
    <chartFormat chart="30" format="79">
      <pivotArea type="data" outline="0" fieldPosition="0">
        <references count="2">
          <reference field="4294967294" count="1" selected="0">
            <x v="0"/>
          </reference>
          <reference field="3" count="1" selected="0">
            <x v="4"/>
          </reference>
        </references>
      </pivotArea>
    </chartFormat>
    <chartFormat chart="28" format="54">
      <pivotArea type="data" outline="0" fieldPosition="0">
        <references count="2">
          <reference field="4294967294" count="1" selected="0">
            <x v="0"/>
          </reference>
          <reference field="3" count="1" selected="0">
            <x v="81"/>
          </reference>
        </references>
      </pivotArea>
    </chartFormat>
    <chartFormat chart="20" format="28">
      <pivotArea type="data" outline="0" fieldPosition="0">
        <references count="2">
          <reference field="4294967294" count="1" selected="0">
            <x v="0"/>
          </reference>
          <reference field="3" count="1" selected="0">
            <x v="8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C6E97E-9978-B640-9E43-06B792D7B16A}" name="PivotTable2" cacheId="24" applyNumberFormats="0" applyBorderFormats="0" applyFontFormats="0" applyPatternFormats="0" applyAlignmentFormats="0" applyWidthHeightFormats="1" dataCaption="Values" updatedVersion="6" minRefreshableVersion="5" useAutoFormatting="1" rowGrandTotals="0" colGrandTotals="0" itemPrintTitles="1" createdVersion="6" indent="0" showHeaders="0" outline="1" outlineData="1" multipleFieldFilters="0" chartFormat="26">
  <location ref="A3:B8" firstHeaderRow="1" firstDataRow="1" firstDataCol="1"/>
  <pivotFields count="14">
    <pivotField showAll="0"/>
    <pivotField dataField="1" showAll="0"/>
    <pivotField showAll="0"/>
    <pivotField showAll="0">
      <items count="83">
        <item m="1" x="36"/>
        <item m="1" x="33"/>
        <item m="1" x="77"/>
        <item x="8"/>
        <item m="1" x="68"/>
        <item m="1" x="47"/>
        <item m="1" x="59"/>
        <item m="1" x="76"/>
        <item m="1" x="54"/>
        <item m="1" x="57"/>
        <item x="1"/>
        <item m="1" x="30"/>
        <item m="1" x="71"/>
        <item m="1" x="52"/>
        <item m="1" x="64"/>
        <item m="1" x="45"/>
        <item m="1" x="63"/>
        <item m="1" x="16"/>
        <item x="2"/>
        <item x="11"/>
        <item m="1" x="17"/>
        <item m="1" x="56"/>
        <item m="1" x="34"/>
        <item x="10"/>
        <item m="1" x="53"/>
        <item m="1" x="32"/>
        <item m="1" x="13"/>
        <item m="1" x="19"/>
        <item x="5"/>
        <item m="1" x="27"/>
        <item m="1" x="18"/>
        <item x="0"/>
        <item m="1" x="25"/>
        <item m="1" x="72"/>
        <item m="1" x="21"/>
        <item m="1" x="55"/>
        <item m="1" x="40"/>
        <item m="1" x="48"/>
        <item m="1" x="39"/>
        <item m="1" x="81"/>
        <item m="1" x="20"/>
        <item x="6"/>
        <item x="4"/>
        <item m="1" x="24"/>
        <item m="1" x="74"/>
        <item m="1" x="23"/>
        <item m="1" x="50"/>
        <item m="1" x="46"/>
        <item m="1" x="61"/>
        <item x="9"/>
        <item m="1" x="44"/>
        <item m="1" x="62"/>
        <item m="1" x="79"/>
        <item m="1" x="69"/>
        <item m="1" x="35"/>
        <item m="1" x="42"/>
        <item m="1" x="49"/>
        <item m="1" x="38"/>
        <item m="1" x="37"/>
        <item m="1" x="58"/>
        <item m="1" x="14"/>
        <item m="1" x="66"/>
        <item m="1" x="28"/>
        <item m="1" x="80"/>
        <item m="1" x="41"/>
        <item m="1" x="22"/>
        <item x="7"/>
        <item m="1" x="29"/>
        <item m="1" x="67"/>
        <item m="1" x="73"/>
        <item m="1" x="75"/>
        <item m="1" x="43"/>
        <item m="1" x="70"/>
        <item m="1" x="78"/>
        <item m="1" x="60"/>
        <item m="1" x="65"/>
        <item m="1" x="31"/>
        <item m="1" x="15"/>
        <item m="1" x="26"/>
        <item x="3"/>
        <item m="1" x="51"/>
        <item m="1" x="12"/>
        <item t="default"/>
      </items>
    </pivotField>
    <pivotField showAll="0"/>
    <pivotField showAll="0">
      <items count="15">
        <item x="3"/>
        <item x="5"/>
        <item x="4"/>
        <item x="10"/>
        <item x="1"/>
        <item x="8"/>
        <item m="1" x="13"/>
        <item x="2"/>
        <item x="11"/>
        <item x="7"/>
        <item x="9"/>
        <item x="6"/>
        <item x="0"/>
        <item m="1" x="12"/>
        <item t="default"/>
      </items>
    </pivotField>
    <pivotField showAll="0">
      <items count="19">
        <item x="0"/>
        <item x="2"/>
        <item x="4"/>
        <item x="9"/>
        <item x="5"/>
        <item x="6"/>
        <item x="7"/>
        <item x="8"/>
        <item x="3"/>
        <item x="15"/>
        <item x="11"/>
        <item x="16"/>
        <item x="12"/>
        <item x="13"/>
        <item x="14"/>
        <item x="1"/>
        <item x="17"/>
        <item x="10"/>
        <item t="default"/>
      </items>
    </pivotField>
    <pivotField showAll="0">
      <items count="5">
        <item h="1" x="2"/>
        <item x="0"/>
        <item h="1" x="1"/>
        <item h="1" x="3"/>
        <item t="default"/>
      </items>
    </pivotField>
    <pivotField axis="axisRow" numFmtId="14" showAll="0">
      <items count="8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t="default"/>
      </items>
    </pivotField>
    <pivotField numFmtId="1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4">
    <field x="13"/>
    <field x="12"/>
    <field x="11"/>
    <field x="8"/>
  </rowFields>
  <rowItems count="5">
    <i>
      <x v="1"/>
    </i>
    <i>
      <x v="2"/>
    </i>
    <i>
      <x v="3"/>
    </i>
    <i>
      <x v="4"/>
    </i>
    <i>
      <x v="6"/>
    </i>
  </rowItems>
  <colItems count="1">
    <i/>
  </colItems>
  <dataFields count="1">
    <dataField name="Count of Contact ID" fld="1" subtotal="count" showDataAs="runTotal" baseField="13" baseItem="0"/>
  </dataFields>
  <chartFormats count="6">
    <chartFormat chart="2" format="27" series="1">
      <pivotArea type="data" outline="0" fieldPosition="0">
        <references count="1">
          <reference field="4294967294" count="1" selected="0">
            <x v="0"/>
          </reference>
        </references>
      </pivotArea>
    </chartFormat>
    <chartFormat chart="1" format="27" series="1">
      <pivotArea type="data" outline="0" fieldPosition="0">
        <references count="1">
          <reference field="4294967294" count="1" selected="0">
            <x v="0"/>
          </reference>
        </references>
      </pivotArea>
    </chartFormat>
    <chartFormat chart="0" format="2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47F8D4-15D0-5B46-B693-D4E92880EBFE}" name="PivotTable2" cacheId="24" applyNumberFormats="0" applyBorderFormats="0" applyFontFormats="0" applyPatternFormats="0" applyAlignmentFormats="0" applyWidthHeightFormats="1" dataCaption="Values" updatedVersion="6" minRefreshableVersion="5" useAutoFormatting="1" itemPrintTitles="1" createdVersion="6" indent="0" compact="0" compactData="0" multipleFieldFilters="0" chartFormat="22">
  <location ref="A3:K32" firstHeaderRow="1" firstDataRow="2" firstDataCol="2"/>
  <pivotFields count="14">
    <pivotField compact="0" outline="0" showAll="0"/>
    <pivotField dataField="1" compact="0" outline="0" showAll="0"/>
    <pivotField compact="0" outline="0" showAll="0"/>
    <pivotField compact="0" outline="0" showAll="0">
      <items count="83">
        <item m="1" x="36"/>
        <item m="1" x="33"/>
        <item m="1" x="77"/>
        <item x="8"/>
        <item m="1" x="68"/>
        <item m="1" x="47"/>
        <item m="1" x="59"/>
        <item m="1" x="76"/>
        <item m="1" x="54"/>
        <item m="1" x="57"/>
        <item x="1"/>
        <item m="1" x="30"/>
        <item m="1" x="71"/>
        <item m="1" x="52"/>
        <item m="1" x="64"/>
        <item m="1" x="45"/>
        <item m="1" x="63"/>
        <item m="1" x="16"/>
        <item x="2"/>
        <item x="11"/>
        <item m="1" x="17"/>
        <item m="1" x="56"/>
        <item m="1" x="34"/>
        <item x="10"/>
        <item m="1" x="53"/>
        <item m="1" x="32"/>
        <item m="1" x="13"/>
        <item m="1" x="19"/>
        <item x="5"/>
        <item m="1" x="27"/>
        <item m="1" x="18"/>
        <item x="0"/>
        <item m="1" x="25"/>
        <item m="1" x="72"/>
        <item m="1" x="21"/>
        <item m="1" x="55"/>
        <item m="1" x="40"/>
        <item m="1" x="48"/>
        <item m="1" x="39"/>
        <item m="1" x="81"/>
        <item m="1" x="20"/>
        <item x="6"/>
        <item x="4"/>
        <item m="1" x="24"/>
        <item m="1" x="74"/>
        <item m="1" x="23"/>
        <item m="1" x="50"/>
        <item m="1" x="46"/>
        <item m="1" x="61"/>
        <item x="9"/>
        <item m="1" x="44"/>
        <item m="1" x="62"/>
        <item m="1" x="79"/>
        <item m="1" x="69"/>
        <item m="1" x="35"/>
        <item m="1" x="42"/>
        <item m="1" x="49"/>
        <item m="1" x="38"/>
        <item m="1" x="37"/>
        <item m="1" x="58"/>
        <item m="1" x="14"/>
        <item m="1" x="66"/>
        <item m="1" x="28"/>
        <item m="1" x="80"/>
        <item m="1" x="41"/>
        <item m="1" x="22"/>
        <item x="7"/>
        <item m="1" x="29"/>
        <item m="1" x="67"/>
        <item m="1" x="73"/>
        <item m="1" x="75"/>
        <item m="1" x="43"/>
        <item m="1" x="70"/>
        <item m="1" x="78"/>
        <item m="1" x="60"/>
        <item m="1" x="65"/>
        <item m="1" x="31"/>
        <item m="1" x="15"/>
        <item m="1" x="26"/>
        <item x="3"/>
        <item m="1" x="51"/>
        <item m="1" x="12"/>
        <item t="default"/>
      </items>
    </pivotField>
    <pivotField compact="0" outline="0" showAll="0"/>
    <pivotField compact="0" outline="0" showAll="0">
      <items count="15">
        <item x="3"/>
        <item x="5"/>
        <item x="4"/>
        <item x="10"/>
        <item x="1"/>
        <item x="8"/>
        <item m="1" x="13"/>
        <item x="2"/>
        <item x="11"/>
        <item x="7"/>
        <item x="9"/>
        <item x="6"/>
        <item x="0"/>
        <item m="1" x="12"/>
        <item t="default"/>
      </items>
    </pivotField>
    <pivotField compact="0" outline="0" showAll="0">
      <items count="19">
        <item x="0"/>
        <item x="2"/>
        <item x="4"/>
        <item x="9"/>
        <item x="5"/>
        <item x="6"/>
        <item x="7"/>
        <item x="8"/>
        <item x="3"/>
        <item x="15"/>
        <item x="11"/>
        <item x="16"/>
        <item x="12"/>
        <item x="13"/>
        <item x="14"/>
        <item x="1"/>
        <item x="17"/>
        <item x="10"/>
        <item t="default"/>
      </items>
    </pivotField>
    <pivotField compact="0" outline="0" showAll="0">
      <items count="5">
        <item h="1" x="2"/>
        <item x="0"/>
        <item h="1" x="1"/>
        <item h="1" x="3"/>
        <item t="default"/>
      </items>
    </pivotField>
    <pivotField compact="0" numFmtId="14" outline="0" showAll="0">
      <items count="8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t="default"/>
      </items>
    </pivotField>
    <pivotField compact="0" numFmtId="14" outline="0" showAll="0"/>
    <pivotField axis="axisCol" compact="0" outline="0" showAll="0">
      <items count="10">
        <item x="8"/>
        <item x="0"/>
        <item x="2"/>
        <item x="6"/>
        <item x="7"/>
        <item x="5"/>
        <item x="4"/>
        <item x="1"/>
        <item x="3"/>
        <item t="default"/>
      </items>
    </pivotField>
    <pivotField axis="axisRow"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axis="axisRow" compact="0" outline="0" showAll="0">
      <items count="9">
        <item x="0"/>
        <item x="1"/>
        <item x="2"/>
        <item x="3"/>
        <item x="4"/>
        <item x="5"/>
        <item x="6"/>
        <item x="7"/>
        <item t="default"/>
      </items>
    </pivotField>
  </pivotFields>
  <rowFields count="2">
    <field x="13"/>
    <field x="11"/>
  </rowFields>
  <rowItems count="28">
    <i>
      <x v="1"/>
      <x v="1"/>
    </i>
    <i r="1">
      <x v="5"/>
    </i>
    <i r="1">
      <x v="9"/>
    </i>
    <i r="1">
      <x v="10"/>
    </i>
    <i t="default">
      <x v="1"/>
    </i>
    <i>
      <x v="2"/>
      <x v="5"/>
    </i>
    <i r="1">
      <x v="6"/>
    </i>
    <i r="1">
      <x v="11"/>
    </i>
    <i t="default">
      <x v="2"/>
    </i>
    <i>
      <x v="3"/>
      <x v="6"/>
    </i>
    <i r="1">
      <x v="7"/>
    </i>
    <i r="1">
      <x v="8"/>
    </i>
    <i r="1">
      <x v="9"/>
    </i>
    <i r="1">
      <x v="10"/>
    </i>
    <i r="1">
      <x v="11"/>
    </i>
    <i t="default">
      <x v="3"/>
    </i>
    <i>
      <x v="4"/>
      <x v="3"/>
    </i>
    <i r="1">
      <x v="4"/>
    </i>
    <i r="1">
      <x v="5"/>
    </i>
    <i r="1">
      <x v="6"/>
    </i>
    <i r="1">
      <x v="7"/>
    </i>
    <i t="default">
      <x v="4"/>
    </i>
    <i>
      <x v="6"/>
      <x v="9"/>
    </i>
    <i r="1">
      <x v="10"/>
    </i>
    <i r="1">
      <x v="11"/>
    </i>
    <i r="1">
      <x v="12"/>
    </i>
    <i t="default">
      <x v="6"/>
    </i>
    <i t="grand">
      <x/>
    </i>
  </rowItems>
  <colFields count="1">
    <field x="10"/>
  </colFields>
  <colItems count="9">
    <i>
      <x v="1"/>
    </i>
    <i>
      <x v="2"/>
    </i>
    <i>
      <x v="3"/>
    </i>
    <i>
      <x v="4"/>
    </i>
    <i>
      <x v="5"/>
    </i>
    <i>
      <x v="6"/>
    </i>
    <i>
      <x v="7"/>
    </i>
    <i>
      <x v="8"/>
    </i>
    <i t="grand">
      <x/>
    </i>
  </colItems>
  <dataFields count="1">
    <dataField name="Count of Contact ID" fld="1" subtotal="count" baseField="0" baseItem="0"/>
  </dataFields>
  <chartFormats count="29">
    <chartFormat chart="8" format="0" series="1">
      <pivotArea type="data" outline="0" fieldPosition="0">
        <references count="2">
          <reference field="4294967294" count="1" selected="0">
            <x v="0"/>
          </reference>
          <reference field="10" count="1" selected="0">
            <x v="0"/>
          </reference>
        </references>
      </pivotArea>
    </chartFormat>
    <chartFormat chart="8" format="1" series="1">
      <pivotArea type="data" outline="0" fieldPosition="0">
        <references count="2">
          <reference field="4294967294" count="1" selected="0">
            <x v="0"/>
          </reference>
          <reference field="10" count="1" selected="0">
            <x v="1"/>
          </reference>
        </references>
      </pivotArea>
    </chartFormat>
    <chartFormat chart="8" format="2" series="1">
      <pivotArea type="data" outline="0" fieldPosition="0">
        <references count="2">
          <reference field="4294967294" count="1" selected="0">
            <x v="0"/>
          </reference>
          <reference field="10" count="1" selected="0">
            <x v="2"/>
          </reference>
        </references>
      </pivotArea>
    </chartFormat>
    <chartFormat chart="8" format="3" series="1">
      <pivotArea type="data" outline="0" fieldPosition="0">
        <references count="2">
          <reference field="4294967294" count="1" selected="0">
            <x v="0"/>
          </reference>
          <reference field="10" count="1" selected="0">
            <x v="3"/>
          </reference>
        </references>
      </pivotArea>
    </chartFormat>
    <chartFormat chart="8" format="4" series="1">
      <pivotArea type="data" outline="0" fieldPosition="0">
        <references count="2">
          <reference field="4294967294" count="1" selected="0">
            <x v="0"/>
          </reference>
          <reference field="10" count="1" selected="0">
            <x v="4"/>
          </reference>
        </references>
      </pivotArea>
    </chartFormat>
    <chartFormat chart="8" format="5" series="1">
      <pivotArea type="data" outline="0" fieldPosition="0">
        <references count="2">
          <reference field="4294967294" count="1" selected="0">
            <x v="0"/>
          </reference>
          <reference field="10" count="1" selected="0">
            <x v="5"/>
          </reference>
        </references>
      </pivotArea>
    </chartFormat>
    <chartFormat chart="8" format="6" series="1">
      <pivotArea type="data" outline="0" fieldPosition="0">
        <references count="2">
          <reference field="4294967294" count="1" selected="0">
            <x v="0"/>
          </reference>
          <reference field="10" count="1" selected="0">
            <x v="6"/>
          </reference>
        </references>
      </pivotArea>
    </chartFormat>
    <chartFormat chart="8" format="7" series="1">
      <pivotArea type="data" outline="0" fieldPosition="0">
        <references count="2">
          <reference field="4294967294" count="1" selected="0">
            <x v="0"/>
          </reference>
          <reference field="10" count="1" selected="0">
            <x v="7"/>
          </reference>
        </references>
      </pivotArea>
    </chartFormat>
    <chartFormat chart="8" format="8" series="1">
      <pivotArea type="data" outline="0" fieldPosition="0">
        <references count="2">
          <reference field="4294967294" count="1" selected="0">
            <x v="0"/>
          </reference>
          <reference field="10" count="1" selected="0">
            <x v="8"/>
          </reference>
        </references>
      </pivotArea>
    </chartFormat>
    <chartFormat chart="10" format="18" series="1">
      <pivotArea type="data" outline="0" fieldPosition="0">
        <references count="2">
          <reference field="4294967294" count="1" selected="0">
            <x v="0"/>
          </reference>
          <reference field="10" count="1" selected="0">
            <x v="0"/>
          </reference>
        </references>
      </pivotArea>
    </chartFormat>
    <chartFormat chart="10" format="19" series="1">
      <pivotArea type="data" outline="0" fieldPosition="0">
        <references count="2">
          <reference field="4294967294" count="1" selected="0">
            <x v="0"/>
          </reference>
          <reference field="10" count="1" selected="0">
            <x v="1"/>
          </reference>
        </references>
      </pivotArea>
    </chartFormat>
    <chartFormat chart="10" format="20" series="1">
      <pivotArea type="data" outline="0" fieldPosition="0">
        <references count="2">
          <reference field="4294967294" count="1" selected="0">
            <x v="0"/>
          </reference>
          <reference field="10" count="1" selected="0">
            <x v="2"/>
          </reference>
        </references>
      </pivotArea>
    </chartFormat>
    <chartFormat chart="10" format="21" series="1">
      <pivotArea type="data" outline="0" fieldPosition="0">
        <references count="2">
          <reference field="4294967294" count="1" selected="0">
            <x v="0"/>
          </reference>
          <reference field="10" count="1" selected="0">
            <x v="3"/>
          </reference>
        </references>
      </pivotArea>
    </chartFormat>
    <chartFormat chart="10" format="22" series="1">
      <pivotArea type="data" outline="0" fieldPosition="0">
        <references count="2">
          <reference field="4294967294" count="1" selected="0">
            <x v="0"/>
          </reference>
          <reference field="10" count="1" selected="0">
            <x v="4"/>
          </reference>
        </references>
      </pivotArea>
    </chartFormat>
    <chartFormat chart="10" format="23" series="1">
      <pivotArea type="data" outline="0" fieldPosition="0">
        <references count="2">
          <reference field="4294967294" count="1" selected="0">
            <x v="0"/>
          </reference>
          <reference field="10" count="1" selected="0">
            <x v="5"/>
          </reference>
        </references>
      </pivotArea>
    </chartFormat>
    <chartFormat chart="10" format="24" series="1">
      <pivotArea type="data" outline="0" fieldPosition="0">
        <references count="2">
          <reference field="4294967294" count="1" selected="0">
            <x v="0"/>
          </reference>
          <reference field="10" count="1" selected="0">
            <x v="6"/>
          </reference>
        </references>
      </pivotArea>
    </chartFormat>
    <chartFormat chart="10" format="25" series="1">
      <pivotArea type="data" outline="0" fieldPosition="0">
        <references count="2">
          <reference field="4294967294" count="1" selected="0">
            <x v="0"/>
          </reference>
          <reference field="10" count="1" selected="0">
            <x v="7"/>
          </reference>
        </references>
      </pivotArea>
    </chartFormat>
    <chartFormat chart="10" format="26" series="1">
      <pivotArea type="data" outline="0" fieldPosition="0">
        <references count="2">
          <reference field="4294967294" count="1" selected="0">
            <x v="0"/>
          </reference>
          <reference field="10" count="1" selected="0">
            <x v="8"/>
          </reference>
        </references>
      </pivotArea>
    </chartFormat>
    <chartFormat chart="17" format="18" series="1">
      <pivotArea type="data" outline="0" fieldPosition="0">
        <references count="2">
          <reference field="4294967294" count="1" selected="0">
            <x v="0"/>
          </reference>
          <reference field="10" count="1" selected="0">
            <x v="0"/>
          </reference>
        </references>
      </pivotArea>
    </chartFormat>
    <chartFormat chart="17" format="19" series="1">
      <pivotArea type="data" outline="0" fieldPosition="0">
        <references count="2">
          <reference field="4294967294" count="1" selected="0">
            <x v="0"/>
          </reference>
          <reference field="10" count="1" selected="0">
            <x v="1"/>
          </reference>
        </references>
      </pivotArea>
    </chartFormat>
    <chartFormat chart="17" format="20" series="1">
      <pivotArea type="data" outline="0" fieldPosition="0">
        <references count="2">
          <reference field="4294967294" count="1" selected="0">
            <x v="0"/>
          </reference>
          <reference field="10" count="1" selected="0">
            <x v="2"/>
          </reference>
        </references>
      </pivotArea>
    </chartFormat>
    <chartFormat chart="17" format="21" series="1">
      <pivotArea type="data" outline="0" fieldPosition="0">
        <references count="2">
          <reference field="4294967294" count="1" selected="0">
            <x v="0"/>
          </reference>
          <reference field="10" count="1" selected="0">
            <x v="3"/>
          </reference>
        </references>
      </pivotArea>
    </chartFormat>
    <chartFormat chart="17" format="22" series="1">
      <pivotArea type="data" outline="0" fieldPosition="0">
        <references count="2">
          <reference field="4294967294" count="1" selected="0">
            <x v="0"/>
          </reference>
          <reference field="10" count="1" selected="0">
            <x v="4"/>
          </reference>
        </references>
      </pivotArea>
    </chartFormat>
    <chartFormat chart="17" format="23" series="1">
      <pivotArea type="data" outline="0" fieldPosition="0">
        <references count="2">
          <reference field="4294967294" count="1" selected="0">
            <x v="0"/>
          </reference>
          <reference field="10" count="1" selected="0">
            <x v="5"/>
          </reference>
        </references>
      </pivotArea>
    </chartFormat>
    <chartFormat chart="17" format="24" series="1">
      <pivotArea type="data" outline="0" fieldPosition="0">
        <references count="2">
          <reference field="4294967294" count="1" selected="0">
            <x v="0"/>
          </reference>
          <reference field="10" count="1" selected="0">
            <x v="6"/>
          </reference>
        </references>
      </pivotArea>
    </chartFormat>
    <chartFormat chart="17" format="25" series="1">
      <pivotArea type="data" outline="0" fieldPosition="0">
        <references count="2">
          <reference field="4294967294" count="1" selected="0">
            <x v="0"/>
          </reference>
          <reference field="10" count="1" selected="0">
            <x v="7"/>
          </reference>
        </references>
      </pivotArea>
    </chartFormat>
    <chartFormat chart="17" format="26" series="1">
      <pivotArea type="data" outline="0" fieldPosition="0">
        <references count="2">
          <reference field="4294967294" count="1" selected="0">
            <x v="0"/>
          </reference>
          <reference field="10" count="1" selected="0">
            <x v="8"/>
          </reference>
        </references>
      </pivotArea>
    </chartFormat>
    <chartFormat chart="17" format="27"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703E37-F8DF-B644-A2E2-ABF825066423}" name="PivotTable1" cacheId="23" applyNumberFormats="0" applyBorderFormats="0" applyFontFormats="0" applyPatternFormats="0" applyAlignmentFormats="0" applyWidthHeightFormats="1" dataCaption="Values" updatedVersion="8" minRefreshableVersion="5" useAutoFormatting="1" rowGrandTotals="0" colGrandTotals="0" itemPrintTitles="1" createdVersion="6" indent="0" outline="1" outlineData="1" multipleFieldFilters="0" chartFormat="23">
  <location ref="A3:B24" firstHeaderRow="1" firstDataRow="1" firstDataCol="1"/>
  <pivotFields count="27">
    <pivotField showAll="0"/>
    <pivotField axis="axisRow">
      <items count="22">
        <item x="14"/>
        <item x="18"/>
        <item x="1"/>
        <item x="19"/>
        <item x="13"/>
        <item x="15"/>
        <item x="10"/>
        <item x="7"/>
        <item x="5"/>
        <item x="3"/>
        <item x="2"/>
        <item x="6"/>
        <item x="20"/>
        <item x="11"/>
        <item x="16"/>
        <item x="17"/>
        <item x="4"/>
        <item x="8"/>
        <item x="0"/>
        <item x="9"/>
        <item x="12"/>
        <item t="default"/>
      </items>
    </pivotField>
    <pivotField showAll="0">
      <items count="188">
        <item x="124"/>
        <item x="139"/>
        <item x="24"/>
        <item x="40"/>
        <item x="26"/>
        <item x="33"/>
        <item x="28"/>
        <item x="12"/>
        <item x="35"/>
        <item x="27"/>
        <item x="51"/>
        <item x="36"/>
        <item x="126"/>
        <item x="75"/>
        <item x="83"/>
        <item x="173"/>
        <item x="80"/>
        <item x="65"/>
        <item x="95"/>
        <item x="136"/>
        <item x="19"/>
        <item x="1"/>
        <item x="11"/>
        <item x="2"/>
        <item x="108"/>
        <item x="179"/>
        <item x="10"/>
        <item x="56"/>
        <item x="31"/>
        <item x="86"/>
        <item x="175"/>
        <item x="178"/>
        <item x="70"/>
        <item x="47"/>
        <item x="123"/>
        <item x="174"/>
        <item x="125"/>
        <item x="41"/>
        <item x="177"/>
        <item x="90"/>
        <item x="25"/>
        <item x="109"/>
        <item x="135"/>
        <item x="45"/>
        <item x="144"/>
        <item x="149"/>
        <item x="132"/>
        <item x="49"/>
        <item x="54"/>
        <item x="13"/>
        <item x="172"/>
        <item x="96"/>
        <item x="55"/>
        <item x="168"/>
        <item x="167"/>
        <item x="63"/>
        <item x="100"/>
        <item x="161"/>
        <item x="29"/>
        <item x="164"/>
        <item x="91"/>
        <item x="44"/>
        <item x="57"/>
        <item x="52"/>
        <item x="160"/>
        <item x="76"/>
        <item x="39"/>
        <item x="87"/>
        <item x="104"/>
        <item x="64"/>
        <item x="72"/>
        <item x="142"/>
        <item x="148"/>
        <item x="143"/>
        <item x="146"/>
        <item x="20"/>
        <item x="67"/>
        <item x="115"/>
        <item x="71"/>
        <item x="78"/>
        <item x="79"/>
        <item x="58"/>
        <item x="50"/>
        <item x="147"/>
        <item x="6"/>
        <item x="43"/>
        <item x="145"/>
        <item x="53"/>
        <item x="7"/>
        <item x="106"/>
        <item x="4"/>
        <item x="158"/>
        <item x="111"/>
        <item x="15"/>
        <item x="16"/>
        <item x="117"/>
        <item x="61"/>
        <item x="116"/>
        <item x="99"/>
        <item x="154"/>
        <item x="131"/>
        <item x="88"/>
        <item x="23"/>
        <item x="102"/>
        <item x="171"/>
        <item x="0"/>
        <item x="182"/>
        <item x="152"/>
        <item x="130"/>
        <item x="101"/>
        <item x="93"/>
        <item x="98"/>
        <item x="69"/>
        <item x="157"/>
        <item x="5"/>
        <item x="181"/>
        <item x="137"/>
        <item x="66"/>
        <item x="153"/>
        <item x="17"/>
        <item x="162"/>
        <item x="73"/>
        <item x="176"/>
        <item x="119"/>
        <item x="77"/>
        <item x="166"/>
        <item x="85"/>
        <item x="68"/>
        <item x="103"/>
        <item x="163"/>
        <item x="42"/>
        <item x="113"/>
        <item x="84"/>
        <item x="60"/>
        <item x="118"/>
        <item x="133"/>
        <item x="156"/>
        <item x="8"/>
        <item x="46"/>
        <item x="32"/>
        <item x="140"/>
        <item x="120"/>
        <item x="121"/>
        <item x="141"/>
        <item x="159"/>
        <item x="112"/>
        <item x="110"/>
        <item x="107"/>
        <item x="184"/>
        <item x="128"/>
        <item x="18"/>
        <item x="34"/>
        <item x="82"/>
        <item x="62"/>
        <item x="114"/>
        <item x="14"/>
        <item x="185"/>
        <item x="169"/>
        <item x="22"/>
        <item x="37"/>
        <item x="3"/>
        <item x="21"/>
        <item x="129"/>
        <item x="134"/>
        <item x="48"/>
        <item x="59"/>
        <item x="155"/>
        <item x="89"/>
        <item x="122"/>
        <item x="74"/>
        <item x="92"/>
        <item x="30"/>
        <item x="180"/>
        <item x="94"/>
        <item x="9"/>
        <item x="97"/>
        <item x="186"/>
        <item x="165"/>
        <item x="183"/>
        <item x="150"/>
        <item x="138"/>
        <item x="151"/>
        <item x="38"/>
        <item x="127"/>
        <item x="105"/>
        <item x="170"/>
        <item x="81"/>
        <item t="default"/>
      </items>
    </pivotField>
    <pivotField numFmtId="14" showAll="0">
      <items count="2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t="default"/>
      </items>
    </pivotField>
    <pivotField showAll="0">
      <items count="123">
        <item x="118"/>
        <item x="66"/>
        <item x="60"/>
        <item x="56"/>
        <item x="46"/>
        <item x="57"/>
        <item x="58"/>
        <item x="76"/>
        <item x="80"/>
        <item x="82"/>
        <item x="92"/>
        <item x="61"/>
        <item x="88"/>
        <item x="73"/>
        <item x="69"/>
        <item x="71"/>
        <item x="10"/>
        <item x="43"/>
        <item x="39"/>
        <item x="64"/>
        <item x="62"/>
        <item x="29"/>
        <item x="67"/>
        <item x="38"/>
        <item x="47"/>
        <item x="59"/>
        <item x="2"/>
        <item x="77"/>
        <item x="44"/>
        <item x="107"/>
        <item x="34"/>
        <item x="108"/>
        <item x="109"/>
        <item x="32"/>
        <item x="28"/>
        <item x="89"/>
        <item x="37"/>
        <item x="52"/>
        <item x="40"/>
        <item x="23"/>
        <item x="33"/>
        <item x="87"/>
        <item x="26"/>
        <item x="41"/>
        <item x="91"/>
        <item x="45"/>
        <item x="81"/>
        <item x="5"/>
        <item x="72"/>
        <item x="49"/>
        <item x="68"/>
        <item x="31"/>
        <item x="30"/>
        <item x="0"/>
        <item x="35"/>
        <item x="55"/>
        <item x="1"/>
        <item x="90"/>
        <item x="27"/>
        <item x="94"/>
        <item x="63"/>
        <item x="4"/>
        <item x="93"/>
        <item x="74"/>
        <item x="18"/>
        <item x="78"/>
        <item x="50"/>
        <item x="79"/>
        <item x="22"/>
        <item x="53"/>
        <item x="83"/>
        <item x="24"/>
        <item x="36"/>
        <item x="75"/>
        <item x="51"/>
        <item x="110"/>
        <item x="6"/>
        <item x="103"/>
        <item x="15"/>
        <item x="119"/>
        <item x="7"/>
        <item x="95"/>
        <item x="97"/>
        <item x="17"/>
        <item x="3"/>
        <item x="8"/>
        <item x="42"/>
        <item x="102"/>
        <item x="104"/>
        <item x="65"/>
        <item x="85"/>
        <item x="114"/>
        <item x="116"/>
        <item x="21"/>
        <item x="120"/>
        <item x="121"/>
        <item x="25"/>
        <item x="105"/>
        <item x="86"/>
        <item x="113"/>
        <item x="115"/>
        <item x="70"/>
        <item x="101"/>
        <item x="112"/>
        <item x="98"/>
        <item x="100"/>
        <item x="12"/>
        <item x="96"/>
        <item x="84"/>
        <item x="99"/>
        <item x="19"/>
        <item x="106"/>
        <item x="117"/>
        <item x="20"/>
        <item x="111"/>
        <item x="48"/>
        <item x="14"/>
        <item x="54"/>
        <item x="11"/>
        <item x="16"/>
        <item x="9"/>
        <item x="13"/>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9" showAll="0"/>
    <pivotField dataField="1" numFmtId="9" showAll="0"/>
    <pivotField showAll="0"/>
    <pivotField showAll="0"/>
    <pivotField numFmtId="10" showAll="0"/>
    <pivotField numFmtId="9" showAll="0"/>
    <pivotField numFmtId="10" showAll="0"/>
    <pivotField numFmtId="2"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x v="20"/>
    </i>
  </rowItems>
  <colItems count="1">
    <i/>
  </colItems>
  <dataFields count="1">
    <dataField name="Visitor to product page" fld="17" subtotal="average" baseField="0" baseItem="0" numFmtId="9"/>
  </dataFields>
  <chartFormats count="9">
    <chartFormat chart="0" format="2"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76036C-7D1B-114F-8AB2-B95B7D542E79}" name="PivotTable1" cacheId="23" applyNumberFormats="0" applyBorderFormats="0" applyFontFormats="0" applyPatternFormats="0" applyAlignmentFormats="0" applyWidthHeightFormats="1" dataCaption="Values" updatedVersion="8" minRefreshableVersion="5" useAutoFormatting="1" itemPrintTitles="1" createdVersion="6" indent="0" compact="0" compactData="0" multipleFieldFilters="0" chartFormat="17" rowHeaderCaption="Campaign">
  <location ref="A3:E25" firstHeaderRow="0" firstDataRow="1" firstDataCol="2"/>
  <pivotFields count="27">
    <pivotField compact="0" outline="0" showAll="0"/>
    <pivotField name="Campaign" axis="axisRow" compact="0" outline="0" showAll="0">
      <items count="22">
        <item sd="0" x="14"/>
        <item sd="0" x="18"/>
        <item sd="0" x="1"/>
        <item sd="0" x="19"/>
        <item sd="0" x="13"/>
        <item sd="0" x="15"/>
        <item sd="0" x="10"/>
        <item sd="0" x="7"/>
        <item sd="0" x="5"/>
        <item sd="0" x="3"/>
        <item sd="0" x="2"/>
        <item sd="0" x="6"/>
        <item sd="0" x="20"/>
        <item sd="0" x="11"/>
        <item sd="0" x="16"/>
        <item sd="0" x="17"/>
        <item sd="0" x="4"/>
        <item sd="0" x="8"/>
        <item sd="0" x="0"/>
        <item sd="0" x="9"/>
        <item sd="0" x="12"/>
        <item t="default" sd="0"/>
      </items>
    </pivotField>
    <pivotField axis="axisRow" compact="0" outline="0" showAll="0">
      <items count="188">
        <item x="124"/>
        <item x="139"/>
        <item x="24"/>
        <item x="40"/>
        <item x="26"/>
        <item x="33"/>
        <item x="28"/>
        <item x="12"/>
        <item x="35"/>
        <item x="27"/>
        <item x="51"/>
        <item x="36"/>
        <item x="126"/>
        <item x="75"/>
        <item x="83"/>
        <item x="173"/>
        <item x="80"/>
        <item x="65"/>
        <item x="95"/>
        <item x="136"/>
        <item x="19"/>
        <item x="1"/>
        <item x="11"/>
        <item x="2"/>
        <item x="108"/>
        <item x="179"/>
        <item x="10"/>
        <item x="56"/>
        <item x="31"/>
        <item x="86"/>
        <item x="175"/>
        <item x="178"/>
        <item x="70"/>
        <item x="47"/>
        <item x="123"/>
        <item x="174"/>
        <item x="125"/>
        <item x="41"/>
        <item x="177"/>
        <item x="90"/>
        <item x="25"/>
        <item x="109"/>
        <item x="135"/>
        <item x="45"/>
        <item x="144"/>
        <item x="149"/>
        <item x="132"/>
        <item x="49"/>
        <item x="54"/>
        <item x="13"/>
        <item x="172"/>
        <item x="96"/>
        <item x="55"/>
        <item x="168"/>
        <item x="167"/>
        <item x="63"/>
        <item x="100"/>
        <item x="161"/>
        <item x="29"/>
        <item x="164"/>
        <item x="91"/>
        <item x="44"/>
        <item x="57"/>
        <item x="52"/>
        <item x="160"/>
        <item x="76"/>
        <item x="39"/>
        <item x="87"/>
        <item x="104"/>
        <item x="64"/>
        <item x="72"/>
        <item x="142"/>
        <item x="148"/>
        <item x="143"/>
        <item x="146"/>
        <item x="20"/>
        <item x="67"/>
        <item x="115"/>
        <item x="71"/>
        <item x="78"/>
        <item x="79"/>
        <item x="58"/>
        <item x="50"/>
        <item x="147"/>
        <item x="6"/>
        <item x="43"/>
        <item x="145"/>
        <item x="53"/>
        <item x="7"/>
        <item x="106"/>
        <item x="4"/>
        <item x="158"/>
        <item x="111"/>
        <item x="15"/>
        <item x="16"/>
        <item x="117"/>
        <item x="61"/>
        <item x="116"/>
        <item x="99"/>
        <item x="154"/>
        <item x="131"/>
        <item x="88"/>
        <item x="23"/>
        <item x="102"/>
        <item x="171"/>
        <item x="0"/>
        <item x="182"/>
        <item x="152"/>
        <item x="130"/>
        <item x="101"/>
        <item x="93"/>
        <item x="98"/>
        <item x="69"/>
        <item x="157"/>
        <item x="5"/>
        <item x="181"/>
        <item x="137"/>
        <item x="66"/>
        <item x="153"/>
        <item x="17"/>
        <item x="162"/>
        <item x="73"/>
        <item x="176"/>
        <item x="119"/>
        <item x="77"/>
        <item x="166"/>
        <item x="85"/>
        <item x="68"/>
        <item x="103"/>
        <item x="163"/>
        <item x="42"/>
        <item x="113"/>
        <item x="84"/>
        <item x="60"/>
        <item x="118"/>
        <item x="133"/>
        <item x="156"/>
        <item x="8"/>
        <item x="46"/>
        <item x="32"/>
        <item x="140"/>
        <item x="120"/>
        <item x="121"/>
        <item x="141"/>
        <item x="159"/>
        <item x="112"/>
        <item x="110"/>
        <item x="107"/>
        <item x="184"/>
        <item x="128"/>
        <item x="18"/>
        <item x="34"/>
        <item x="82"/>
        <item x="62"/>
        <item x="114"/>
        <item x="14"/>
        <item x="185"/>
        <item x="169"/>
        <item x="22"/>
        <item x="37"/>
        <item x="3"/>
        <item x="21"/>
        <item x="129"/>
        <item x="134"/>
        <item x="48"/>
        <item x="59"/>
        <item x="155"/>
        <item x="89"/>
        <item x="122"/>
        <item x="74"/>
        <item x="92"/>
        <item x="30"/>
        <item x="180"/>
        <item x="94"/>
        <item x="9"/>
        <item x="97"/>
        <item x="186"/>
        <item x="165"/>
        <item x="183"/>
        <item x="150"/>
        <item x="138"/>
        <item x="151"/>
        <item x="38"/>
        <item x="127"/>
        <item x="105"/>
        <item x="170"/>
        <item x="81"/>
        <item t="default"/>
      </items>
    </pivotField>
    <pivotField compact="0" numFmtId="14" outline="0" showAll="0">
      <items count="2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t="default"/>
      </items>
    </pivotField>
    <pivotField compact="0" outline="0" showAll="0">
      <items count="123">
        <item x="118"/>
        <item x="66"/>
        <item x="60"/>
        <item x="56"/>
        <item x="46"/>
        <item x="57"/>
        <item x="58"/>
        <item x="76"/>
        <item x="80"/>
        <item x="82"/>
        <item x="92"/>
        <item x="61"/>
        <item x="88"/>
        <item x="73"/>
        <item x="69"/>
        <item x="71"/>
        <item x="10"/>
        <item x="43"/>
        <item x="39"/>
        <item x="64"/>
        <item x="62"/>
        <item x="29"/>
        <item x="67"/>
        <item x="38"/>
        <item x="47"/>
        <item x="59"/>
        <item x="2"/>
        <item x="77"/>
        <item x="44"/>
        <item x="107"/>
        <item x="34"/>
        <item x="108"/>
        <item x="109"/>
        <item x="32"/>
        <item x="28"/>
        <item x="89"/>
        <item x="37"/>
        <item x="52"/>
        <item x="40"/>
        <item x="23"/>
        <item x="33"/>
        <item x="87"/>
        <item x="26"/>
        <item x="41"/>
        <item x="91"/>
        <item x="45"/>
        <item x="81"/>
        <item x="5"/>
        <item x="72"/>
        <item x="49"/>
        <item x="68"/>
        <item x="31"/>
        <item x="30"/>
        <item x="0"/>
        <item x="35"/>
        <item x="55"/>
        <item x="1"/>
        <item x="90"/>
        <item x="27"/>
        <item x="94"/>
        <item x="63"/>
        <item x="4"/>
        <item x="93"/>
        <item x="74"/>
        <item x="18"/>
        <item x="78"/>
        <item x="50"/>
        <item x="79"/>
        <item x="22"/>
        <item x="53"/>
        <item x="83"/>
        <item x="24"/>
        <item x="36"/>
        <item x="75"/>
        <item x="51"/>
        <item x="110"/>
        <item x="6"/>
        <item x="103"/>
        <item x="15"/>
        <item x="119"/>
        <item x="7"/>
        <item x="95"/>
        <item x="97"/>
        <item x="17"/>
        <item x="3"/>
        <item x="8"/>
        <item x="42"/>
        <item x="102"/>
        <item x="104"/>
        <item x="65"/>
        <item x="85"/>
        <item x="114"/>
        <item x="116"/>
        <item x="21"/>
        <item x="120"/>
        <item x="121"/>
        <item x="25"/>
        <item x="105"/>
        <item x="86"/>
        <item x="113"/>
        <item x="115"/>
        <item x="70"/>
        <item x="101"/>
        <item x="112"/>
        <item x="98"/>
        <item x="100"/>
        <item x="12"/>
        <item x="96"/>
        <item x="84"/>
        <item x="99"/>
        <item x="19"/>
        <item x="106"/>
        <item x="117"/>
        <item x="20"/>
        <item x="111"/>
        <item x="48"/>
        <item x="14"/>
        <item x="54"/>
        <item x="11"/>
        <item x="16"/>
        <item x="9"/>
        <item x="13"/>
        <item t="default"/>
      </items>
    </pivotField>
    <pivotField compact="0" numFmtId="1" outline="0" showAll="0">
      <items count="207">
        <item x="72"/>
        <item x="152"/>
        <item x="196"/>
        <item x="86"/>
        <item x="36"/>
        <item x="12"/>
        <item x="136"/>
        <item x="40"/>
        <item x="41"/>
        <item x="148"/>
        <item x="58"/>
        <item x="116"/>
        <item x="181"/>
        <item x="9"/>
        <item x="3"/>
        <item x="151"/>
        <item x="46"/>
        <item x="47"/>
        <item x="118"/>
        <item x="10"/>
        <item x="18"/>
        <item x="193"/>
        <item x="21"/>
        <item x="180"/>
        <item x="178"/>
        <item x="150"/>
        <item x="16"/>
        <item x="137"/>
        <item x="42"/>
        <item x="173"/>
        <item x="155"/>
        <item x="123"/>
        <item x="162"/>
        <item x="185"/>
        <item x="142"/>
        <item x="149"/>
        <item x="2"/>
        <item x="133"/>
        <item x="11"/>
        <item x="61"/>
        <item x="13"/>
        <item x="60"/>
        <item x="198"/>
        <item x="125"/>
        <item x="168"/>
        <item x="50"/>
        <item x="17"/>
        <item x="117"/>
        <item x="201"/>
        <item x="80"/>
        <item x="132"/>
        <item x="195"/>
        <item x="95"/>
        <item x="92"/>
        <item x="105"/>
        <item x="184"/>
        <item x="6"/>
        <item x="127"/>
        <item x="179"/>
        <item x="8"/>
        <item x="83"/>
        <item x="23"/>
        <item x="19"/>
        <item x="160"/>
        <item x="74"/>
        <item x="75"/>
        <item x="69"/>
        <item x="70"/>
        <item x="33"/>
        <item x="120"/>
        <item x="121"/>
        <item x="103"/>
        <item x="104"/>
        <item x="91"/>
        <item x="87"/>
        <item x="114"/>
        <item x="115"/>
        <item x="48"/>
        <item x="1"/>
        <item x="35"/>
        <item x="31"/>
        <item x="25"/>
        <item x="28"/>
        <item x="38"/>
        <item x="199"/>
        <item x="187"/>
        <item x="188"/>
        <item x="7"/>
        <item x="107"/>
        <item x="182"/>
        <item x="64"/>
        <item x="101"/>
        <item x="73"/>
        <item x="97"/>
        <item x="100"/>
        <item x="124"/>
        <item x="98"/>
        <item x="110"/>
        <item x="130"/>
        <item x="65"/>
        <item x="5"/>
        <item x="143"/>
        <item x="164"/>
        <item x="0"/>
        <item x="14"/>
        <item x="128"/>
        <item x="85"/>
        <item x="63"/>
        <item x="186"/>
        <item x="93"/>
        <item x="54"/>
        <item x="89"/>
        <item x="59"/>
        <item x="44"/>
        <item x="62"/>
        <item x="55"/>
        <item x="20"/>
        <item x="158"/>
        <item x="138"/>
        <item x="15"/>
        <item x="203"/>
        <item x="154"/>
        <item x="159"/>
        <item x="119"/>
        <item x="144"/>
        <item x="135"/>
        <item x="52"/>
        <item x="49"/>
        <item x="51"/>
        <item x="139"/>
        <item x="140"/>
        <item x="111"/>
        <item x="39"/>
        <item x="81"/>
        <item x="147"/>
        <item x="197"/>
        <item x="109"/>
        <item x="108"/>
        <item x="45"/>
        <item x="76"/>
        <item x="71"/>
        <item x="37"/>
        <item x="34"/>
        <item x="161"/>
        <item x="82"/>
        <item x="94"/>
        <item x="90"/>
        <item x="165"/>
        <item x="66"/>
        <item x="56"/>
        <item x="189"/>
        <item x="153"/>
        <item x="29"/>
        <item x="26"/>
        <item x="79"/>
        <item x="190"/>
        <item x="99"/>
        <item x="113"/>
        <item x="122"/>
        <item x="106"/>
        <item x="205"/>
        <item x="204"/>
        <item x="200"/>
        <item x="174"/>
        <item x="191"/>
        <item x="171"/>
        <item x="194"/>
        <item x="166"/>
        <item x="183"/>
        <item x="176"/>
        <item x="175"/>
        <item x="172"/>
        <item x="167"/>
        <item x="163"/>
        <item x="129"/>
        <item x="4"/>
        <item x="57"/>
        <item x="141"/>
        <item x="32"/>
        <item x="53"/>
        <item x="30"/>
        <item x="27"/>
        <item x="24"/>
        <item x="43"/>
        <item x="145"/>
        <item x="22"/>
        <item x="112"/>
        <item x="88"/>
        <item x="78"/>
        <item x="67"/>
        <item x="131"/>
        <item x="156"/>
        <item x="68"/>
        <item x="96"/>
        <item x="146"/>
        <item x="134"/>
        <item x="157"/>
        <item x="126"/>
        <item x="169"/>
        <item x="177"/>
        <item x="102"/>
        <item x="192"/>
        <item x="84"/>
        <item x="170"/>
        <item x="77"/>
        <item x="202"/>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dataField="1" compact="0" numFmtId="9" outline="0" showAll="0"/>
    <pivotField dataField="1" compact="0" numFmtId="9" outline="0" showAll="0"/>
    <pivotField compact="0" outline="0" showAll="0"/>
    <pivotField compact="0" outline="0" showAll="0"/>
    <pivotField compact="0" numFmtId="10" outline="0" showAll="0"/>
    <pivotField compact="0" numFmtId="9" outline="0" showAll="0"/>
    <pivotField compact="0" numFmtId="10" outline="0" showAll="0"/>
    <pivotField dataField="1" compact="0" numFmtId="2" outline="0" showAll="0"/>
    <pivotField compact="0" numFmtId="1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2">
    <field x="1"/>
    <field x="2"/>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3">
    <i>
      <x/>
    </i>
    <i i="1">
      <x v="1"/>
    </i>
    <i i="2">
      <x v="2"/>
    </i>
  </colItems>
  <dataFields count="3">
    <dataField name="Opened emails" fld="16" subtotal="average" baseField="0" baseItem="0" numFmtId="9"/>
    <dataField name="Engagement through clicks" fld="23" subtotal="average" baseField="0" baseItem="0" numFmtId="9"/>
    <dataField name="Product page visitors" fld="17" subtotal="average" baseField="0" baseItem="0" numFmtId="9"/>
  </dataFields>
  <formats count="3">
    <format dxfId="31">
      <pivotArea field="5" type="button" dataOnly="0" labelOnly="1" outline="0"/>
    </format>
    <format dxfId="30">
      <pivotArea outline="0" fieldPosition="0">
        <references count="1">
          <reference field="4294967294" count="1">
            <x v="1"/>
          </reference>
        </references>
      </pivotArea>
    </format>
    <format dxfId="29">
      <pivotArea outline="0" collapsedLevelsAreSubtotals="1" fieldPosition="0"/>
    </format>
  </formats>
  <conditionalFormats count="23">
    <conditionalFormat priority="23">
      <pivotAreas count="1">
        <pivotArea type="data" outline="0" collapsedLevelsAreSubtotals="1" fieldPosition="0">
          <references count="1">
            <reference field="1" count="3" selected="0" defaultSubtotal="1">
              <x v="0"/>
              <x v="1"/>
              <x v="2"/>
            </reference>
          </references>
        </pivotArea>
      </pivotAreas>
    </conditionalFormat>
    <conditionalFormat priority="22">
      <pivotAreas count="1">
        <pivotArea type="data" outline="0" collapsedLevelsAreSubtotals="1" fieldPosition="0">
          <references count="1">
            <reference field="1" count="21" selected="0" defaultSubtotal="1">
              <x v="0"/>
              <x v="1"/>
              <x v="2"/>
              <x v="3"/>
              <x v="4"/>
              <x v="5"/>
              <x v="6"/>
              <x v="7"/>
              <x v="8"/>
              <x v="9"/>
              <x v="10"/>
              <x v="11"/>
              <x v="12"/>
              <x v="13"/>
              <x v="14"/>
              <x v="15"/>
              <x v="16"/>
              <x v="17"/>
              <x v="18"/>
              <x v="19"/>
              <x v="20"/>
            </reference>
          </references>
        </pivotArea>
      </pivotAreas>
    </conditionalFormat>
    <conditionalFormat priority="21">
      <pivotAreas count="1">
        <pivotArea type="data" outline="0" collapsedLevelsAreSubtotals="1" fieldPosition="0">
          <references count="2">
            <reference field="1" count="1" selected="0">
              <x v="0"/>
            </reference>
            <reference field="2" count="12" selected="0">
              <x v="15"/>
              <x v="32"/>
              <x v="56"/>
              <x v="64"/>
              <x v="67"/>
              <x v="71"/>
              <x v="79"/>
              <x v="98"/>
              <x v="107"/>
              <x v="135"/>
              <x v="168"/>
              <x v="178"/>
            </reference>
          </references>
        </pivotArea>
      </pivotAreas>
    </conditionalFormat>
    <conditionalFormat priority="20">
      <pivotAreas count="1">
        <pivotArea type="data" outline="0" collapsedLevelsAreSubtotals="1" fieldPosition="0">
          <references count="2">
            <reference field="1" count="1" selected="0">
              <x v="1"/>
            </reference>
            <reference field="2" count="4" selected="0">
              <x v="42"/>
              <x v="74"/>
              <x v="116"/>
              <x v="181"/>
            </reference>
          </references>
        </pivotArea>
      </pivotAreas>
    </conditionalFormat>
    <conditionalFormat priority="19">
      <pivotAreas count="1">
        <pivotArea type="data" outline="0" collapsedLevelsAreSubtotals="1" fieldPosition="0">
          <references count="2">
            <reference field="1" count="1" selected="0">
              <x v="2"/>
            </reference>
            <reference field="2" count="8" selected="0">
              <x v="21"/>
              <x v="49"/>
              <x v="54"/>
              <x v="84"/>
              <x v="106"/>
              <x v="136"/>
              <x v="148"/>
              <x v="174"/>
            </reference>
          </references>
        </pivotArea>
      </pivotAreas>
    </conditionalFormat>
    <conditionalFormat priority="18">
      <pivotAreas count="1">
        <pivotArea type="data" outline="0" collapsedLevelsAreSubtotals="1" fieldPosition="0">
          <references count="2">
            <reference field="1" count="1" selected="0">
              <x v="3"/>
            </reference>
            <reference field="2" count="2" selected="0">
              <x v="1"/>
              <x v="180"/>
            </reference>
          </references>
        </pivotArea>
      </pivotAreas>
    </conditionalFormat>
    <conditionalFormat priority="17">
      <pivotAreas count="1">
        <pivotArea type="data" outline="0" collapsedLevelsAreSubtotals="1" fieldPosition="0">
          <references count="2">
            <reference field="1" count="1" selected="0">
              <x v="4"/>
            </reference>
            <reference field="2" count="12" selected="0">
              <x v="55"/>
              <x v="72"/>
              <x v="103"/>
              <x v="112"/>
              <x v="113"/>
              <x v="118"/>
              <x v="128"/>
              <x v="169"/>
              <x v="172"/>
              <x v="173"/>
              <x v="176"/>
              <x v="177"/>
            </reference>
          </references>
        </pivotArea>
      </pivotAreas>
    </conditionalFormat>
    <conditionalFormat priority="16">
      <pivotAreas count="1">
        <pivotArea type="data" outline="0" collapsedLevelsAreSubtotals="1" fieldPosition="0">
          <references count="2">
            <reference field="1" count="1" selected="0">
              <x v="5"/>
            </reference>
            <reference field="2" count="7" selected="0">
              <x v="101"/>
              <x v="109"/>
              <x v="110"/>
              <x v="111"/>
              <x v="142"/>
              <x v="170"/>
              <x v="186"/>
            </reference>
          </references>
        </pivotArea>
      </pivotAreas>
    </conditionalFormat>
    <conditionalFormat priority="15">
      <pivotAreas count="1">
        <pivotArea type="data" outline="0" collapsedLevelsAreSubtotals="1" fieldPosition="0">
          <references count="2">
            <reference field="1" count="1" selected="0">
              <x v="6"/>
            </reference>
            <reference field="2" count="8" selected="0">
              <x v="0"/>
              <x v="36"/>
              <x v="43"/>
              <x v="73"/>
              <x v="86"/>
              <x v="104"/>
              <x v="143"/>
              <x v="151"/>
            </reference>
          </references>
        </pivotArea>
      </pivotAreas>
    </conditionalFormat>
    <conditionalFormat priority="14">
      <pivotAreas count="1">
        <pivotArea type="data" outline="0" collapsedLevelsAreSubtotals="1" fieldPosition="0">
          <references count="2">
            <reference field="1" count="1" selected="0">
              <x v="7"/>
            </reference>
            <reference field="2" count="5" selected="0">
              <x v="5"/>
              <x v="6"/>
              <x v="10"/>
              <x v="40"/>
              <x v="139"/>
            </reference>
          </references>
        </pivotArea>
      </pivotAreas>
    </conditionalFormat>
    <conditionalFormat priority="13">
      <pivotAreas count="1">
        <pivotArea type="data" outline="0" collapsedLevelsAreSubtotals="1" fieldPosition="0">
          <references count="2">
            <reference field="1" count="1" selected="0">
              <x v="8"/>
            </reference>
            <reference field="2" count="16" selected="0">
              <x v="2"/>
              <x v="7"/>
              <x v="9"/>
              <x v="61"/>
              <x v="75"/>
              <x v="76"/>
              <x v="108"/>
              <x v="114"/>
              <x v="134"/>
              <x v="145"/>
              <x v="150"/>
              <x v="151"/>
              <x v="159"/>
              <x v="161"/>
              <x v="165"/>
              <x v="171"/>
            </reference>
          </references>
        </pivotArea>
      </pivotAreas>
    </conditionalFormat>
    <conditionalFormat priority="12">
      <pivotAreas count="1">
        <pivotArea type="data" outline="0" collapsedLevelsAreSubtotals="1" fieldPosition="0">
          <references count="2">
            <reference field="1" count="1" selected="0">
              <x v="9"/>
            </reference>
            <reference field="2" count="10" selected="0">
              <x v="4"/>
              <x v="28"/>
              <x v="37"/>
              <x v="58"/>
              <x v="63"/>
              <x v="102"/>
              <x v="153"/>
              <x v="158"/>
              <x v="160"/>
              <x v="164"/>
            </reference>
          </references>
        </pivotArea>
      </pivotAreas>
    </conditionalFormat>
    <conditionalFormat priority="11">
      <pivotAreas count="1">
        <pivotArea type="data" outline="0" collapsedLevelsAreSubtotals="1" fieldPosition="0">
          <references count="2">
            <reference field="1" count="1" selected="0">
              <x v="10"/>
            </reference>
            <reference field="2" count="10" selected="0">
              <x v="19"/>
              <x v="23"/>
              <x v="24"/>
              <x v="25"/>
              <x v="26"/>
              <x v="59"/>
              <x v="87"/>
              <x v="120"/>
              <x v="129"/>
              <x v="162"/>
            </reference>
          </references>
        </pivotArea>
      </pivotAreas>
    </conditionalFormat>
    <conditionalFormat priority="10">
      <pivotAreas count="1">
        <pivotArea type="data" outline="0" collapsedLevelsAreSubtotals="1" fieldPosition="0">
          <references count="2">
            <reference field="1" count="1" selected="0">
              <x v="11"/>
            </reference>
            <reference field="2" count="1" selected="0">
              <x v="20"/>
            </reference>
          </references>
        </pivotArea>
      </pivotAreas>
    </conditionalFormat>
    <conditionalFormat priority="9">
      <pivotAreas count="1">
        <pivotArea type="data" outline="0" collapsedLevelsAreSubtotals="1" fieldPosition="0">
          <references count="2">
            <reference field="1" count="1" selected="0">
              <x v="12"/>
            </reference>
            <reference field="2" count="2" selected="0">
              <x v="35"/>
              <x v="38"/>
            </reference>
          </references>
        </pivotArea>
      </pivotAreas>
    </conditionalFormat>
    <conditionalFormat priority="8">
      <pivotAreas count="1">
        <pivotArea type="data" outline="0" collapsedLevelsAreSubtotals="1" fieldPosition="0">
          <references count="2">
            <reference field="1" count="1" selected="0">
              <x v="13"/>
            </reference>
            <reference field="2" count="7" selected="0">
              <x v="31"/>
              <x v="47"/>
              <x v="68"/>
              <x v="70"/>
              <x v="133"/>
              <x v="163"/>
              <x v="184"/>
            </reference>
          </references>
        </pivotArea>
      </pivotAreas>
    </conditionalFormat>
    <conditionalFormat priority="7">
      <pivotAreas count="1">
        <pivotArea type="data" outline="0" collapsedLevelsAreSubtotals="1" fieldPosition="0">
          <references count="2">
            <reference field="1" count="1" selected="0">
              <x v="14"/>
            </reference>
            <reference field="2" count="2" selected="0">
              <x v="92"/>
              <x v="131"/>
            </reference>
          </references>
        </pivotArea>
      </pivotAreas>
    </conditionalFormat>
    <conditionalFormat priority="6">
      <pivotAreas count="1">
        <pivotArea type="data" outline="0" collapsedLevelsAreSubtotals="1" fieldPosition="0">
          <references count="2">
            <reference field="1" count="1" selected="0">
              <x v="15"/>
            </reference>
            <reference field="2" count="21" selected="0">
              <x v="30"/>
              <x v="46"/>
              <x v="50"/>
              <x v="53"/>
              <x v="57"/>
              <x v="83"/>
              <x v="91"/>
              <x v="95"/>
              <x v="97"/>
              <x v="115"/>
              <x v="122"/>
              <x v="125"/>
              <x v="126"/>
              <x v="144"/>
              <x v="149"/>
              <x v="156"/>
              <x v="157"/>
              <x v="166"/>
              <x v="179"/>
              <x v="183"/>
              <x v="185"/>
            </reference>
          </references>
        </pivotArea>
      </pivotAreas>
    </conditionalFormat>
    <conditionalFormat priority="5">
      <pivotAreas count="1">
        <pivotArea type="data" outline="0" collapsedLevelsAreSubtotals="1" fieldPosition="0">
          <references count="2">
            <reference field="1" count="1" selected="0">
              <x v="16"/>
            </reference>
            <reference field="2" count="8" selected="0">
              <x v="22"/>
              <x v="88"/>
              <x v="90"/>
              <x v="93"/>
              <x v="94"/>
              <x v="119"/>
              <x v="137"/>
              <x v="155"/>
            </reference>
          </references>
        </pivotArea>
      </pivotAreas>
    </conditionalFormat>
    <conditionalFormat priority="4">
      <pivotAreas count="1">
        <pivotArea type="data" outline="0" collapsedLevelsAreSubtotals="1" fieldPosition="0">
          <references count="2">
            <reference field="1" count="1" selected="0">
              <x v="17"/>
            </reference>
            <reference field="2" count="39" selected="0">
              <x v="3"/>
              <x v="8"/>
              <x v="11"/>
              <x v="16"/>
              <x v="17"/>
              <x v="18"/>
              <x v="27"/>
              <x v="29"/>
              <x v="33"/>
              <x v="39"/>
              <x v="41"/>
              <x v="51"/>
              <x v="52"/>
              <x v="60"/>
              <x v="62"/>
              <x v="65"/>
              <x v="66"/>
              <x v="69"/>
              <x v="77"/>
              <x v="85"/>
              <x v="89"/>
              <x v="96"/>
              <x v="117"/>
              <x v="121"/>
              <x v="123"/>
              <x v="124"/>
              <x v="126"/>
              <x v="127"/>
              <x v="132"/>
              <x v="138"/>
              <x v="141"/>
              <x v="146"/>
              <x v="147"/>
              <x v="151"/>
              <x v="152"/>
              <x v="154"/>
              <x v="167"/>
              <x v="175"/>
              <x v="182"/>
            </reference>
          </references>
        </pivotArea>
      </pivotAreas>
    </conditionalFormat>
    <conditionalFormat priority="3">
      <pivotAreas count="1">
        <pivotArea type="data" outline="0" collapsedLevelsAreSubtotals="1" fieldPosition="0">
          <references count="2">
            <reference field="1" count="1" selected="0">
              <x v="18"/>
            </reference>
            <reference field="2" count="1" selected="0">
              <x v="105"/>
            </reference>
          </references>
        </pivotArea>
      </pivotAreas>
    </conditionalFormat>
    <conditionalFormat priority="2">
      <pivotAreas count="1">
        <pivotArea type="data" outline="0" collapsedLevelsAreSubtotals="1" fieldPosition="0">
          <references count="2">
            <reference field="1" count="1" selected="0">
              <x v="19"/>
            </reference>
            <reference field="2" count="2" selected="0">
              <x v="82"/>
              <x v="130"/>
            </reference>
          </references>
        </pivotArea>
      </pivotAreas>
    </conditionalFormat>
    <conditionalFormat priority="1">
      <pivotAreas count="1">
        <pivotArea type="data" outline="0" collapsedLevelsAreSubtotals="1" fieldPosition="0">
          <references count="2">
            <reference field="1" count="1" selected="0">
              <x v="20"/>
            </reference>
            <reference field="2" count="13" selected="0">
              <x v="12"/>
              <x v="13"/>
              <x v="14"/>
              <x v="34"/>
              <x v="44"/>
              <x v="45"/>
              <x v="48"/>
              <x v="78"/>
              <x v="80"/>
              <x v="81"/>
              <x v="99"/>
              <x v="100"/>
              <x v="140"/>
            </reference>
          </references>
        </pivotArea>
      </pivotAreas>
    </conditionalFormat>
  </conditional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72F5FE-B7CD-864F-ADD4-C9E3464C49C0}" name="PivotTable1" cacheId="2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21" rowHeaderCaption="Date">
  <location ref="A3:D16" firstHeaderRow="0" firstDataRow="1" firstDataCol="1"/>
  <pivotFields count="27">
    <pivotField showAll="0"/>
    <pivotField showAll="0">
      <items count="22">
        <item x="14"/>
        <item x="18"/>
        <item x="1"/>
        <item x="19"/>
        <item x="13"/>
        <item x="15"/>
        <item x="10"/>
        <item x="7"/>
        <item x="5"/>
        <item x="3"/>
        <item x="2"/>
        <item x="6"/>
        <item x="20"/>
        <item x="11"/>
        <item x="16"/>
        <item x="17"/>
        <item x="4"/>
        <item x="8"/>
        <item x="0"/>
        <item x="9"/>
        <item x="12"/>
        <item t="default"/>
      </items>
    </pivotField>
    <pivotField showAll="0">
      <items count="188">
        <item x="124"/>
        <item x="139"/>
        <item x="24"/>
        <item x="40"/>
        <item x="26"/>
        <item x="33"/>
        <item x="28"/>
        <item x="12"/>
        <item x="35"/>
        <item x="27"/>
        <item x="51"/>
        <item x="36"/>
        <item x="126"/>
        <item x="75"/>
        <item x="83"/>
        <item x="173"/>
        <item x="80"/>
        <item x="65"/>
        <item x="95"/>
        <item x="136"/>
        <item x="19"/>
        <item x="1"/>
        <item x="11"/>
        <item x="2"/>
        <item x="108"/>
        <item x="179"/>
        <item x="10"/>
        <item x="56"/>
        <item x="31"/>
        <item x="86"/>
        <item x="175"/>
        <item x="178"/>
        <item x="70"/>
        <item x="47"/>
        <item x="123"/>
        <item x="174"/>
        <item x="125"/>
        <item x="41"/>
        <item x="177"/>
        <item x="90"/>
        <item x="25"/>
        <item x="109"/>
        <item x="135"/>
        <item x="45"/>
        <item x="144"/>
        <item x="149"/>
        <item x="132"/>
        <item x="49"/>
        <item x="54"/>
        <item x="13"/>
        <item x="172"/>
        <item x="96"/>
        <item x="55"/>
        <item x="168"/>
        <item x="167"/>
        <item x="63"/>
        <item x="100"/>
        <item x="161"/>
        <item x="29"/>
        <item x="164"/>
        <item x="91"/>
        <item x="44"/>
        <item x="57"/>
        <item x="52"/>
        <item x="160"/>
        <item x="76"/>
        <item x="39"/>
        <item x="87"/>
        <item x="104"/>
        <item x="64"/>
        <item x="72"/>
        <item x="142"/>
        <item x="148"/>
        <item x="143"/>
        <item x="146"/>
        <item x="20"/>
        <item x="67"/>
        <item x="115"/>
        <item x="71"/>
        <item x="78"/>
        <item x="79"/>
        <item x="58"/>
        <item x="50"/>
        <item x="147"/>
        <item x="6"/>
        <item x="43"/>
        <item x="145"/>
        <item x="53"/>
        <item x="7"/>
        <item x="106"/>
        <item x="4"/>
        <item x="158"/>
        <item x="111"/>
        <item x="15"/>
        <item x="16"/>
        <item x="117"/>
        <item x="61"/>
        <item x="116"/>
        <item x="99"/>
        <item x="154"/>
        <item x="131"/>
        <item x="88"/>
        <item x="23"/>
        <item x="102"/>
        <item x="171"/>
        <item x="0"/>
        <item x="182"/>
        <item x="152"/>
        <item x="130"/>
        <item x="101"/>
        <item x="93"/>
        <item x="98"/>
        <item x="69"/>
        <item x="157"/>
        <item x="5"/>
        <item x="181"/>
        <item x="137"/>
        <item x="66"/>
        <item x="153"/>
        <item x="17"/>
        <item x="162"/>
        <item x="73"/>
        <item x="176"/>
        <item x="119"/>
        <item x="77"/>
        <item x="166"/>
        <item x="85"/>
        <item x="68"/>
        <item x="103"/>
        <item x="163"/>
        <item x="42"/>
        <item x="113"/>
        <item x="84"/>
        <item x="60"/>
        <item x="118"/>
        <item x="133"/>
        <item x="156"/>
        <item x="8"/>
        <item x="46"/>
        <item x="32"/>
        <item x="140"/>
        <item x="120"/>
        <item x="121"/>
        <item x="141"/>
        <item x="159"/>
        <item x="112"/>
        <item x="110"/>
        <item x="107"/>
        <item x="184"/>
        <item x="128"/>
        <item x="18"/>
        <item x="34"/>
        <item x="82"/>
        <item x="62"/>
        <item x="114"/>
        <item x="14"/>
        <item x="185"/>
        <item x="169"/>
        <item x="22"/>
        <item x="37"/>
        <item x="3"/>
        <item x="21"/>
        <item x="129"/>
        <item x="134"/>
        <item x="48"/>
        <item x="59"/>
        <item x="155"/>
        <item x="89"/>
        <item x="122"/>
        <item x="74"/>
        <item x="92"/>
        <item x="30"/>
        <item x="180"/>
        <item x="94"/>
        <item x="9"/>
        <item x="97"/>
        <item x="186"/>
        <item x="165"/>
        <item x="183"/>
        <item x="150"/>
        <item x="138"/>
        <item x="151"/>
        <item x="38"/>
        <item x="127"/>
        <item x="105"/>
        <item x="170"/>
        <item x="81"/>
        <item t="default"/>
      </items>
    </pivotField>
    <pivotField axis="axisRow" numFmtId="14" showAll="0">
      <items count="2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t="default"/>
      </items>
    </pivotField>
    <pivotField showAll="0">
      <items count="123">
        <item x="118"/>
        <item x="66"/>
        <item x="60"/>
        <item x="56"/>
        <item x="46"/>
        <item x="57"/>
        <item x="58"/>
        <item x="76"/>
        <item x="80"/>
        <item x="82"/>
        <item x="92"/>
        <item x="61"/>
        <item x="88"/>
        <item x="73"/>
        <item x="69"/>
        <item x="71"/>
        <item x="10"/>
        <item x="43"/>
        <item x="39"/>
        <item x="64"/>
        <item x="62"/>
        <item x="29"/>
        <item x="67"/>
        <item x="38"/>
        <item x="47"/>
        <item x="59"/>
        <item x="2"/>
        <item x="77"/>
        <item x="44"/>
        <item x="107"/>
        <item x="34"/>
        <item x="108"/>
        <item x="109"/>
        <item x="32"/>
        <item x="28"/>
        <item x="89"/>
        <item x="37"/>
        <item x="52"/>
        <item x="40"/>
        <item x="23"/>
        <item x="33"/>
        <item x="87"/>
        <item x="26"/>
        <item x="41"/>
        <item x="91"/>
        <item x="45"/>
        <item x="81"/>
        <item x="5"/>
        <item x="72"/>
        <item x="49"/>
        <item x="68"/>
        <item x="31"/>
        <item x="30"/>
        <item x="0"/>
        <item x="35"/>
        <item x="55"/>
        <item x="1"/>
        <item x="90"/>
        <item x="27"/>
        <item x="94"/>
        <item x="63"/>
        <item x="4"/>
        <item x="93"/>
        <item x="74"/>
        <item x="18"/>
        <item x="78"/>
        <item x="50"/>
        <item x="79"/>
        <item x="22"/>
        <item x="53"/>
        <item x="83"/>
        <item x="24"/>
        <item x="36"/>
        <item x="75"/>
        <item x="51"/>
        <item x="110"/>
        <item x="6"/>
        <item x="103"/>
        <item x="15"/>
        <item x="119"/>
        <item x="7"/>
        <item x="95"/>
        <item x="97"/>
        <item x="17"/>
        <item x="3"/>
        <item x="8"/>
        <item x="42"/>
        <item x="102"/>
        <item x="104"/>
        <item x="65"/>
        <item x="85"/>
        <item x="114"/>
        <item x="116"/>
        <item x="21"/>
        <item x="120"/>
        <item x="121"/>
        <item x="25"/>
        <item x="105"/>
        <item x="86"/>
        <item x="113"/>
        <item x="115"/>
        <item x="70"/>
        <item x="101"/>
        <item x="112"/>
        <item x="98"/>
        <item x="100"/>
        <item x="12"/>
        <item x="96"/>
        <item x="84"/>
        <item x="99"/>
        <item x="19"/>
        <item x="106"/>
        <item x="117"/>
        <item x="20"/>
        <item x="111"/>
        <item x="48"/>
        <item x="14"/>
        <item x="54"/>
        <item x="11"/>
        <item x="16"/>
        <item x="9"/>
        <item x="13"/>
        <item t="default"/>
      </items>
    </pivotField>
    <pivotField numFmtId="1" showAll="0">
      <items count="207">
        <item x="72"/>
        <item x="152"/>
        <item x="196"/>
        <item x="86"/>
        <item x="36"/>
        <item x="12"/>
        <item x="136"/>
        <item x="40"/>
        <item x="41"/>
        <item x="148"/>
        <item x="58"/>
        <item x="116"/>
        <item x="181"/>
        <item x="9"/>
        <item x="3"/>
        <item x="151"/>
        <item x="46"/>
        <item x="47"/>
        <item x="118"/>
        <item x="10"/>
        <item x="18"/>
        <item x="193"/>
        <item x="21"/>
        <item x="180"/>
        <item x="178"/>
        <item x="150"/>
        <item x="16"/>
        <item x="137"/>
        <item x="42"/>
        <item x="173"/>
        <item x="155"/>
        <item x="123"/>
        <item x="162"/>
        <item x="185"/>
        <item x="142"/>
        <item x="149"/>
        <item x="2"/>
        <item x="133"/>
        <item x="11"/>
        <item x="61"/>
        <item x="13"/>
        <item x="60"/>
        <item x="198"/>
        <item x="125"/>
        <item x="168"/>
        <item x="50"/>
        <item x="17"/>
        <item x="117"/>
        <item x="201"/>
        <item x="80"/>
        <item x="132"/>
        <item x="195"/>
        <item x="95"/>
        <item x="92"/>
        <item x="105"/>
        <item x="184"/>
        <item x="6"/>
        <item x="127"/>
        <item x="179"/>
        <item x="8"/>
        <item x="83"/>
        <item x="23"/>
        <item x="19"/>
        <item x="160"/>
        <item x="74"/>
        <item x="75"/>
        <item x="69"/>
        <item x="70"/>
        <item x="33"/>
        <item x="120"/>
        <item x="121"/>
        <item x="103"/>
        <item x="104"/>
        <item x="91"/>
        <item x="87"/>
        <item x="114"/>
        <item x="115"/>
        <item x="48"/>
        <item x="1"/>
        <item x="35"/>
        <item x="31"/>
        <item x="25"/>
        <item x="28"/>
        <item x="38"/>
        <item x="199"/>
        <item x="187"/>
        <item x="188"/>
        <item x="7"/>
        <item x="107"/>
        <item x="182"/>
        <item x="64"/>
        <item x="101"/>
        <item x="73"/>
        <item x="97"/>
        <item x="100"/>
        <item x="124"/>
        <item x="98"/>
        <item x="110"/>
        <item x="130"/>
        <item x="65"/>
        <item x="5"/>
        <item x="143"/>
        <item x="164"/>
        <item x="0"/>
        <item x="14"/>
        <item x="128"/>
        <item x="85"/>
        <item x="63"/>
        <item x="186"/>
        <item x="93"/>
        <item x="54"/>
        <item x="89"/>
        <item x="59"/>
        <item x="44"/>
        <item x="62"/>
        <item x="55"/>
        <item x="20"/>
        <item x="158"/>
        <item x="138"/>
        <item x="15"/>
        <item x="203"/>
        <item x="154"/>
        <item x="159"/>
        <item x="119"/>
        <item x="144"/>
        <item x="135"/>
        <item x="52"/>
        <item x="49"/>
        <item x="51"/>
        <item x="139"/>
        <item x="140"/>
        <item x="111"/>
        <item x="39"/>
        <item x="81"/>
        <item x="147"/>
        <item x="197"/>
        <item x="109"/>
        <item x="108"/>
        <item x="45"/>
        <item x="76"/>
        <item x="71"/>
        <item x="37"/>
        <item x="34"/>
        <item x="161"/>
        <item x="82"/>
        <item x="94"/>
        <item x="90"/>
        <item x="165"/>
        <item x="66"/>
        <item x="56"/>
        <item x="189"/>
        <item x="153"/>
        <item x="29"/>
        <item x="26"/>
        <item x="79"/>
        <item x="190"/>
        <item x="99"/>
        <item x="113"/>
        <item x="122"/>
        <item x="106"/>
        <item x="205"/>
        <item x="204"/>
        <item x="200"/>
        <item x="174"/>
        <item x="191"/>
        <item x="171"/>
        <item x="194"/>
        <item x="166"/>
        <item x="183"/>
        <item x="176"/>
        <item x="175"/>
        <item x="172"/>
        <item x="167"/>
        <item x="163"/>
        <item x="129"/>
        <item x="4"/>
        <item x="57"/>
        <item x="141"/>
        <item x="32"/>
        <item x="53"/>
        <item x="30"/>
        <item x="27"/>
        <item x="24"/>
        <item x="43"/>
        <item x="145"/>
        <item x="22"/>
        <item x="112"/>
        <item x="88"/>
        <item x="78"/>
        <item x="67"/>
        <item x="131"/>
        <item x="156"/>
        <item x="68"/>
        <item x="96"/>
        <item x="146"/>
        <item x="134"/>
        <item x="157"/>
        <item x="126"/>
        <item x="169"/>
        <item x="177"/>
        <item x="102"/>
        <item x="192"/>
        <item x="84"/>
        <item x="170"/>
        <item x="77"/>
        <item x="202"/>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9" showAll="0"/>
    <pivotField dataField="1" numFmtId="9" showAll="0"/>
    <pivotField showAll="0"/>
    <pivotField showAll="0"/>
    <pivotField numFmtId="10" showAll="0"/>
    <pivotField numFmtId="9" showAll="0"/>
    <pivotField numFmtId="10" showAll="0"/>
    <pivotField dataField="1" numFmtId="2" showAll="0"/>
    <pivotField numFmtId="10"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autoSortScope>
        <pivotArea dataOnly="0" outline="0" fieldPosition="0">
          <references count="1">
            <reference field="4294967294" count="1" selected="0">
              <x v="2"/>
            </reference>
          </references>
        </pivotArea>
      </autoSortScope>
    </pivotField>
  </pivotFields>
  <rowFields count="3">
    <field x="26"/>
    <field x="25"/>
    <field x="3"/>
  </rowFields>
  <rowItems count="13">
    <i>
      <x v="1"/>
    </i>
    <i>
      <x v="3"/>
    </i>
    <i>
      <x v="5"/>
    </i>
    <i>
      <x v="4"/>
    </i>
    <i>
      <x v="2"/>
    </i>
    <i>
      <x v="8"/>
    </i>
    <i>
      <x v="6"/>
    </i>
    <i>
      <x v="7"/>
    </i>
    <i>
      <x/>
    </i>
    <i>
      <x v="11"/>
    </i>
    <i>
      <x v="10"/>
    </i>
    <i>
      <x v="9"/>
    </i>
    <i t="grand">
      <x/>
    </i>
  </rowItems>
  <colFields count="1">
    <field x="-2"/>
  </colFields>
  <colItems count="3">
    <i>
      <x/>
    </i>
    <i i="1">
      <x v="1"/>
    </i>
    <i i="2">
      <x v="2"/>
    </i>
  </colItems>
  <dataFields count="3">
    <dataField name="Email open" fld="16" subtotal="average" baseField="0" baseItem="0" numFmtId="9"/>
    <dataField name="Engagement through clicks" fld="23" subtotal="average" baseField="0" baseItem="0" numFmtId="9"/>
    <dataField name="Visitor to product page" fld="17" subtotal="average" baseField="0" baseItem="0" numFmtId="9"/>
  </dataFields>
  <formats count="2">
    <format dxfId="28">
      <pivotArea field="5" type="button" dataOnly="0" labelOnly="1" outline="0"/>
    </format>
    <format dxfId="27">
      <pivotArea outline="0" collapsedLevelsAreSubtotals="1" fieldPosition="0">
        <references count="1">
          <reference field="4294967294" count="1" selected="0">
            <x v="1"/>
          </reference>
        </references>
      </pivotArea>
    </format>
  </formats>
  <chartFormats count="18">
    <chartFormat chart="0" format="2"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2"/>
          </reference>
        </references>
      </pivotArea>
    </chartFormat>
    <chartFormat chart="6" format="8" series="1">
      <pivotArea type="data" outline="0" fieldPosition="0">
        <references count="1">
          <reference field="4294967294" count="1" selected="0">
            <x v="2"/>
          </reference>
        </references>
      </pivotArea>
    </chartFormat>
    <chartFormat chart="8" format="8"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1"/>
          </reference>
        </references>
      </pivotArea>
    </chartFormat>
    <chartFormat chart="9" format="7" series="1">
      <pivotArea type="data" outline="0" fieldPosition="0">
        <references count="1">
          <reference field="4294967294"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DA9622B-E63A-7248-AC91-05DDC72C16AF}" sourceName="Country">
  <pivotTables>
    <pivotTable tabId="17" name="PivotTable2"/>
    <pivotTable tabId="30" name="PivotTable2"/>
    <pivotTable tabId="20" name="PivotTable2"/>
    <pivotTable tabId="33" name="PivotTable2"/>
  </pivotTables>
  <data>
    <tabular pivotCacheId="268097759">
      <items count="18">
        <i x="0" s="1"/>
        <i x="4" s="1"/>
        <i x="9" s="1"/>
        <i x="5" s="1"/>
        <i x="7" s="1"/>
        <i x="8" s="1"/>
        <i x="3" s="1"/>
        <i x="15" s="1"/>
        <i x="11" s="1"/>
        <i x="16" s="1"/>
        <i x="12" s="1"/>
        <i x="13" s="1"/>
        <i x="14" s="1"/>
        <i x="1" s="1"/>
        <i x="2" s="1" nd="1"/>
        <i x="6" s="1" nd="1"/>
        <i x="17" s="1" nd="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C2731D-3AD5-FE4A-9207-AB9E3D1AA62A}" sourceName="Region">
  <pivotTables>
    <pivotTable tabId="17" name="PivotTable2"/>
    <pivotTable tabId="30" name="PivotTable2"/>
    <pivotTable tabId="20" name="PivotTable2"/>
    <pivotTable tabId="33" name="PivotTable2"/>
  </pivotTables>
  <data>
    <tabular pivotCacheId="268097759">
      <items count="4">
        <i x="2"/>
        <i x="0" s="1"/>
        <i x="1"/>
        <i x="3"/>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Type" xr10:uid="{0C8BB06D-4166-6C42-9525-A5AF8DD64F5A}" sourceName="Company Type">
  <pivotTables>
    <pivotTable tabId="20" name="PivotTable2"/>
    <pivotTable tabId="30" name="PivotTable2"/>
    <pivotTable tabId="17" name="PivotTable2"/>
    <pivotTable tabId="33" name="PivotTable2"/>
  </pivotTables>
  <data>
    <tabular pivotCacheId="268097759">
      <items count="14">
        <i x="3" s="1"/>
        <i x="5" s="1"/>
        <i x="4" s="1"/>
        <i x="10" s="1"/>
        <i x="1" s="1"/>
        <i x="8" s="1"/>
        <i x="2" s="1"/>
        <i x="7" s="1"/>
        <i x="9" s="1"/>
        <i x="0" s="1"/>
        <i x="13" s="1" nd="1"/>
        <i x="11" s="1" nd="1"/>
        <i x="6" s="1" nd="1"/>
        <i x="1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24C47608-2EC0-EC42-BCAE-A8D36C68DBBE}" sourceName="Campaign Name">
  <pivotTables>
    <pivotTable tabId="13" name="PivotTable1"/>
    <pivotTable tabId="28" name="PivotTable1"/>
    <pivotTable tabId="24" name="PivotTable1"/>
  </pivotTables>
  <data>
    <tabular pivotCacheId="984204739">
      <items count="21">
        <i x="14" s="1"/>
        <i x="18" s="1"/>
        <i x="1" s="1"/>
        <i x="19" s="1"/>
        <i x="13" s="1"/>
        <i x="15" s="1"/>
        <i x="10" s="1"/>
        <i x="7" s="1"/>
        <i x="5" s="1"/>
        <i x="3" s="1"/>
        <i x="2" s="1"/>
        <i x="6" s="1"/>
        <i x="20" s="1"/>
        <i x="11" s="1"/>
        <i x="16" s="1"/>
        <i x="17" s="1"/>
        <i x="4" s="1"/>
        <i x="8" s="1"/>
        <i x="0" s="1"/>
        <i x="9" s="1"/>
        <i x="1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ity" xr10:uid="{13340687-3DFA-E74C-A877-891624AAEA43}" sourceName="Seniority">
  <pivotTables>
    <pivotTable tabId="20" name="PivotTable2"/>
    <pivotTable tabId="30" name="PivotTable2"/>
    <pivotTable tabId="17" name="PivotTable2"/>
    <pivotTable tabId="33" name="PivotTable2"/>
  </pivotTables>
  <data>
    <tabular pivotCacheId="268097759">
      <items count="82">
        <i x="8" s="1"/>
        <i x="1" s="1"/>
        <i x="2" s="1"/>
        <i x="11" s="1"/>
        <i x="10" s="1"/>
        <i x="5" s="1"/>
        <i x="0" s="1"/>
        <i x="6" s="1"/>
        <i x="4" s="1"/>
        <i x="9" s="1"/>
        <i x="7" s="1"/>
        <i x="3" s="1"/>
        <i x="36" s="1" nd="1"/>
        <i x="33" s="1" nd="1"/>
        <i x="77" s="1" nd="1"/>
        <i x="68" s="1" nd="1"/>
        <i x="47" s="1" nd="1"/>
        <i x="59" s="1" nd="1"/>
        <i x="76" s="1" nd="1"/>
        <i x="54" s="1" nd="1"/>
        <i x="57" s="1" nd="1"/>
        <i x="30" s="1" nd="1"/>
        <i x="71" s="1" nd="1"/>
        <i x="52" s="1" nd="1"/>
        <i x="64" s="1" nd="1"/>
        <i x="45" s="1" nd="1"/>
        <i x="63" s="1" nd="1"/>
        <i x="16" s="1" nd="1"/>
        <i x="17" s="1" nd="1"/>
        <i x="56" s="1" nd="1"/>
        <i x="34" s="1" nd="1"/>
        <i x="53" s="1" nd="1"/>
        <i x="32" s="1" nd="1"/>
        <i x="13" s="1" nd="1"/>
        <i x="19" s="1" nd="1"/>
        <i x="27" s="1" nd="1"/>
        <i x="18" s="1" nd="1"/>
        <i x="25" s="1" nd="1"/>
        <i x="72" s="1" nd="1"/>
        <i x="21" s="1" nd="1"/>
        <i x="55" s="1" nd="1"/>
        <i x="40" s="1" nd="1"/>
        <i x="48" s="1" nd="1"/>
        <i x="39" s="1" nd="1"/>
        <i x="81" s="1" nd="1"/>
        <i x="20" s="1" nd="1"/>
        <i x="24" s="1" nd="1"/>
        <i x="74" s="1" nd="1"/>
        <i x="23" s="1" nd="1"/>
        <i x="50" s="1" nd="1"/>
        <i x="46" s="1" nd="1"/>
        <i x="61" s="1" nd="1"/>
        <i x="44" s="1" nd="1"/>
        <i x="62" s="1" nd="1"/>
        <i x="79" s="1" nd="1"/>
        <i x="69" s="1" nd="1"/>
        <i x="35" s="1" nd="1"/>
        <i x="42" s="1" nd="1"/>
        <i x="49" s="1" nd="1"/>
        <i x="38" s="1" nd="1"/>
        <i x="37" s="1" nd="1"/>
        <i x="58" s="1" nd="1"/>
        <i x="14" s="1" nd="1"/>
        <i x="66" s="1" nd="1"/>
        <i x="28" s="1" nd="1"/>
        <i x="80" s="1" nd="1"/>
        <i x="41" s="1" nd="1"/>
        <i x="22" s="1" nd="1"/>
        <i x="29" s="1" nd="1"/>
        <i x="67" s="1" nd="1"/>
        <i x="73" s="1" nd="1"/>
        <i x="75" s="1" nd="1"/>
        <i x="43" s="1" nd="1"/>
        <i x="70" s="1" nd="1"/>
        <i x="78" s="1" nd="1"/>
        <i x="60" s="1" nd="1"/>
        <i x="65" s="1" nd="1"/>
        <i x="31" s="1" nd="1"/>
        <i x="15" s="1" nd="1"/>
        <i x="26" s="1" nd="1"/>
        <i x="51" s="1" nd="1"/>
        <i x="12"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_Line" xr10:uid="{3DDA80FC-35DD-8347-B4D7-D6827B00AD85}" sourceName="Subject Line">
  <pivotTables>
    <pivotTable tabId="13" name="PivotTable1"/>
    <pivotTable tabId="28" name="PivotTable1"/>
    <pivotTable tabId="24" name="PivotTable1"/>
  </pivotTables>
  <data>
    <tabular pivotCacheId="984204739">
      <items count="187">
        <i x="124" s="1"/>
        <i x="139" s="1"/>
        <i x="24" s="1"/>
        <i x="40" s="1"/>
        <i x="26" s="1"/>
        <i x="33" s="1"/>
        <i x="28" s="1"/>
        <i x="12" s="1"/>
        <i x="35" s="1"/>
        <i x="27" s="1"/>
        <i x="51" s="1"/>
        <i x="36" s="1"/>
        <i x="126" s="1"/>
        <i x="75" s="1"/>
        <i x="83" s="1"/>
        <i x="173" s="1"/>
        <i x="80" s="1"/>
        <i x="65" s="1"/>
        <i x="95" s="1"/>
        <i x="136" s="1"/>
        <i x="19" s="1"/>
        <i x="1" s="1"/>
        <i x="11" s="1"/>
        <i x="2" s="1"/>
        <i x="108" s="1"/>
        <i x="179" s="1"/>
        <i x="10" s="1"/>
        <i x="56" s="1"/>
        <i x="31" s="1"/>
        <i x="86" s="1"/>
        <i x="175" s="1"/>
        <i x="178" s="1"/>
        <i x="70" s="1"/>
        <i x="47" s="1"/>
        <i x="123" s="1"/>
        <i x="174" s="1"/>
        <i x="125" s="1"/>
        <i x="41" s="1"/>
        <i x="177" s="1"/>
        <i x="90" s="1"/>
        <i x="25" s="1"/>
        <i x="109" s="1"/>
        <i x="135" s="1"/>
        <i x="45" s="1"/>
        <i x="144" s="1"/>
        <i x="149" s="1"/>
        <i x="132" s="1"/>
        <i x="49" s="1"/>
        <i x="54" s="1"/>
        <i x="13" s="1"/>
        <i x="172" s="1"/>
        <i x="96" s="1"/>
        <i x="55" s="1"/>
        <i x="168" s="1"/>
        <i x="167" s="1"/>
        <i x="63" s="1"/>
        <i x="100" s="1"/>
        <i x="161" s="1"/>
        <i x="29" s="1"/>
        <i x="164" s="1"/>
        <i x="91" s="1"/>
        <i x="44" s="1"/>
        <i x="57" s="1"/>
        <i x="52" s="1"/>
        <i x="160" s="1"/>
        <i x="76" s="1"/>
        <i x="39" s="1"/>
        <i x="87" s="1"/>
        <i x="104" s="1"/>
        <i x="64" s="1"/>
        <i x="72" s="1"/>
        <i x="142" s="1"/>
        <i x="148" s="1"/>
        <i x="143" s="1"/>
        <i x="146" s="1"/>
        <i x="20" s="1"/>
        <i x="67" s="1"/>
        <i x="115" s="1"/>
        <i x="71" s="1"/>
        <i x="78" s="1"/>
        <i x="79" s="1"/>
        <i x="58" s="1"/>
        <i x="50" s="1"/>
        <i x="147" s="1"/>
        <i x="6" s="1"/>
        <i x="43" s="1"/>
        <i x="145" s="1"/>
        <i x="53" s="1"/>
        <i x="7" s="1"/>
        <i x="106" s="1"/>
        <i x="4" s="1"/>
        <i x="158" s="1"/>
        <i x="111" s="1"/>
        <i x="15" s="1"/>
        <i x="16" s="1"/>
        <i x="117" s="1"/>
        <i x="61" s="1"/>
        <i x="116" s="1"/>
        <i x="99" s="1"/>
        <i x="154" s="1"/>
        <i x="131" s="1"/>
        <i x="88" s="1"/>
        <i x="23" s="1"/>
        <i x="102" s="1"/>
        <i x="171" s="1"/>
        <i x="0" s="1"/>
        <i x="182" s="1"/>
        <i x="152" s="1"/>
        <i x="130" s="1"/>
        <i x="101" s="1"/>
        <i x="93" s="1"/>
        <i x="98" s="1"/>
        <i x="69" s="1"/>
        <i x="157" s="1"/>
        <i x="5" s="1"/>
        <i x="181" s="1"/>
        <i x="137" s="1"/>
        <i x="66" s="1"/>
        <i x="153" s="1"/>
        <i x="17" s="1"/>
        <i x="162" s="1"/>
        <i x="73" s="1"/>
        <i x="176" s="1"/>
        <i x="119" s="1"/>
        <i x="77" s="1"/>
        <i x="166" s="1"/>
        <i x="85" s="1"/>
        <i x="68" s="1"/>
        <i x="103" s="1"/>
        <i x="163" s="1"/>
        <i x="42" s="1"/>
        <i x="113" s="1"/>
        <i x="84" s="1"/>
        <i x="60" s="1"/>
        <i x="118" s="1"/>
        <i x="133" s="1"/>
        <i x="156" s="1"/>
        <i x="8" s="1"/>
        <i x="46" s="1"/>
        <i x="32" s="1"/>
        <i x="140" s="1"/>
        <i x="120" s="1"/>
        <i x="121" s="1"/>
        <i x="141" s="1"/>
        <i x="159" s="1"/>
        <i x="112" s="1"/>
        <i x="110" s="1"/>
        <i x="107" s="1"/>
        <i x="184" s="1"/>
        <i x="128" s="1"/>
        <i x="18" s="1"/>
        <i x="34" s="1"/>
        <i x="82" s="1"/>
        <i x="62" s="1"/>
        <i x="114" s="1"/>
        <i x="14" s="1"/>
        <i x="185" s="1"/>
        <i x="169" s="1"/>
        <i x="22" s="1"/>
        <i x="37" s="1"/>
        <i x="3" s="1"/>
        <i x="21" s="1"/>
        <i x="129" s="1"/>
        <i x="134" s="1"/>
        <i x="48" s="1"/>
        <i x="59" s="1"/>
        <i x="155" s="1"/>
        <i x="89" s="1"/>
        <i x="122" s="1"/>
        <i x="74" s="1"/>
        <i x="92" s="1"/>
        <i x="30" s="1"/>
        <i x="180" s="1"/>
        <i x="94" s="1"/>
        <i x="9" s="1"/>
        <i x="97" s="1"/>
        <i x="186" s="1"/>
        <i x="165" s="1"/>
        <i x="183" s="1"/>
        <i x="150" s="1"/>
        <i x="138" s="1"/>
        <i x="151" s="1"/>
        <i x="38" s="1"/>
        <i x="127" s="1"/>
        <i x="105" s="1"/>
        <i x="170" s="1"/>
        <i x="8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ent" xr10:uid="{089D99B5-4202-EC48-9A1F-3C66B07A4C3E}" sourceName="Time sent">
  <pivotTables>
    <pivotTable tabId="13" name="PivotTable1"/>
    <pivotTable tabId="28" name="PivotTable1"/>
    <pivotTable tabId="24" name="PivotTable1"/>
  </pivotTables>
  <data>
    <tabular pivotCacheId="984204739">
      <items count="122">
        <i x="118" s="1"/>
        <i x="66" s="1"/>
        <i x="60" s="1"/>
        <i x="56" s="1"/>
        <i x="46" s="1"/>
        <i x="57" s="1"/>
        <i x="58" s="1"/>
        <i x="76" s="1"/>
        <i x="80" s="1"/>
        <i x="82" s="1"/>
        <i x="92" s="1"/>
        <i x="61" s="1"/>
        <i x="88" s="1"/>
        <i x="73" s="1"/>
        <i x="69" s="1"/>
        <i x="71" s="1"/>
        <i x="10" s="1"/>
        <i x="43" s="1"/>
        <i x="39" s="1"/>
        <i x="64" s="1"/>
        <i x="62" s="1"/>
        <i x="29" s="1"/>
        <i x="67" s="1"/>
        <i x="38" s="1"/>
        <i x="47" s="1"/>
        <i x="59" s="1"/>
        <i x="2" s="1"/>
        <i x="77" s="1"/>
        <i x="44" s="1"/>
        <i x="107" s="1"/>
        <i x="34" s="1"/>
        <i x="108" s="1"/>
        <i x="109" s="1"/>
        <i x="32" s="1"/>
        <i x="28" s="1"/>
        <i x="89" s="1"/>
        <i x="37" s="1"/>
        <i x="52" s="1"/>
        <i x="40" s="1"/>
        <i x="23" s="1"/>
        <i x="33" s="1"/>
        <i x="87" s="1"/>
        <i x="26" s="1"/>
        <i x="41" s="1"/>
        <i x="91" s="1"/>
        <i x="45" s="1"/>
        <i x="81" s="1"/>
        <i x="5" s="1"/>
        <i x="72" s="1"/>
        <i x="49" s="1"/>
        <i x="68" s="1"/>
        <i x="31" s="1"/>
        <i x="30" s="1"/>
        <i x="0" s="1"/>
        <i x="35" s="1"/>
        <i x="55" s="1"/>
        <i x="1" s="1"/>
        <i x="90" s="1"/>
        <i x="27" s="1"/>
        <i x="94" s="1"/>
        <i x="63" s="1"/>
        <i x="4" s="1"/>
        <i x="93" s="1"/>
        <i x="74" s="1"/>
        <i x="18" s="1"/>
        <i x="78" s="1"/>
        <i x="50" s="1"/>
        <i x="79" s="1"/>
        <i x="22" s="1"/>
        <i x="53" s="1"/>
        <i x="83" s="1"/>
        <i x="24" s="1"/>
        <i x="36" s="1"/>
        <i x="75" s="1"/>
        <i x="51" s="1"/>
        <i x="110" s="1"/>
        <i x="6" s="1"/>
        <i x="103" s="1"/>
        <i x="15" s="1"/>
        <i x="119" s="1"/>
        <i x="7" s="1"/>
        <i x="95" s="1"/>
        <i x="97" s="1"/>
        <i x="17" s="1"/>
        <i x="3" s="1"/>
        <i x="8" s="1"/>
        <i x="42" s="1"/>
        <i x="102" s="1"/>
        <i x="104" s="1"/>
        <i x="65" s="1"/>
        <i x="85" s="1"/>
        <i x="114" s="1"/>
        <i x="116" s="1"/>
        <i x="21" s="1"/>
        <i x="120" s="1"/>
        <i x="121" s="1"/>
        <i x="25" s="1"/>
        <i x="105" s="1"/>
        <i x="86" s="1"/>
        <i x="113" s="1"/>
        <i x="115" s="1"/>
        <i x="70" s="1"/>
        <i x="101" s="1"/>
        <i x="112" s="1"/>
        <i x="98" s="1"/>
        <i x="100" s="1"/>
        <i x="12" s="1"/>
        <i x="96" s="1"/>
        <i x="84" s="1"/>
        <i x="99" s="1"/>
        <i x="19" s="1"/>
        <i x="106" s="1"/>
        <i x="117" s="1"/>
        <i x="20" s="1"/>
        <i x="111" s="1"/>
        <i x="48" s="1"/>
        <i x="14" s="1"/>
        <i x="54" s="1"/>
        <i x="11" s="1"/>
        <i x="16" s="1"/>
        <i x="9"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B36F65C-EA4A-2D4C-B5DB-D852D2AE102E}" cache="Slicer_Country" caption="Country" style="SlicerStyleDark2" rowHeight="230716"/>
  <slicer name="Region 1" xr10:uid="{3F388372-52E7-B342-BCE3-1A220D22416C}" cache="Slicer_Region" caption="Region" style="SlicerStyleDark2" rowHeight="230716"/>
  <slicer name="Company Type" xr10:uid="{F1BADA50-3E4A-A947-B464-3D305F947BE0}" cache="Slicer_Company_Type" caption="Company Type" style="SlicerStyleDark2" rowHeight="230716"/>
  <slicer name="Seniority" xr10:uid="{03606592-B823-124D-AA52-602AF83F54BC}" cache="Slicer_Seniority" caption="Seniority" style="SlicerStyleDark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Name" xr10:uid="{ED87F916-9C2F-4B41-8523-2651ED6B5CCA}" cache="Slicer_Campaign_Name" caption="Campaign Name" startItem="15" style="SlicerStyleDark6" rowHeight="230716"/>
  <slicer name="Subject Line" xr10:uid="{925CF6F6-73DB-2042-93DD-F62D604364CF}" cache="Slicer_Subject_Line" caption="Subject Line" startItem="169" style="SlicerStyleDark6" rowHeight="230716"/>
  <slicer name="Time sent" xr10:uid="{0D585921-3DA6-C64F-8B5C-D6A8B607CF91}" cache="Slicer_Time_sent" caption="Time sent" startItem="37" style="SlicerStyleDark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6C7F15-EDC6-0E4F-9D83-5D38A80DC518}" name="Table2" displayName="Table2" ref="A1:K889" totalsRowShown="0" headerRowDxfId="26">
  <autoFilter ref="A1:K889" xr:uid="{158058CD-8917-0544-B47F-696C1729C8B0}"/>
  <tableColumns count="11">
    <tableColumn id="1" xr3:uid="{03963C3B-3368-8649-B502-DB96C0F15D40}" name="ID"/>
    <tableColumn id="2" xr3:uid="{C2B4BB1F-98AC-114C-8404-EFBAA868035A}" name="Contact ID"/>
    <tableColumn id="4" xr3:uid="{41CE9CA9-9D9C-EE41-A2FF-ED326786FB3D}" name="Job Title"/>
    <tableColumn id="5" xr3:uid="{15403227-2D76-9244-A3C3-74EFE2C66AEF}" name="Seniority"/>
    <tableColumn id="6" xr3:uid="{28D6A3B1-B894-844D-B705-71FEA0DFBC3D}" name="Company" dataDxfId="25"/>
    <tableColumn id="7" xr3:uid="{D5BC1657-C153-EA47-8B78-9B3140875C40}" name="Company Type"/>
    <tableColumn id="8" xr3:uid="{6A93CDD6-1B04-6244-8A77-C93A591E98C5}" name="Country"/>
    <tableColumn id="12" xr3:uid="{BC120A2B-D0E1-F642-9CB7-9E4ABB8FEDEC}" name="Region"/>
    <tableColumn id="9" xr3:uid="{8CC1BABD-182D-C044-BB84-E582D31E9CCA}" name="Created date" dataDxfId="24"/>
    <tableColumn id="10" xr3:uid="{64C0A1AB-C45E-B147-842A-2062EFAEFEFA}" name="Last activity date" dataDxfId="23"/>
    <tableColumn id="11" xr3:uid="{582EBAEF-38DC-9742-ACC7-F8E0B44318C9}" name="Sour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CF5799-50CF-EF4E-91AE-0D35274ADCCD}" name="Table1" displayName="Table1" ref="A1:Y225" totalsRowShown="0" headerRowDxfId="22">
  <autoFilter ref="A1:Y225" xr:uid="{48493D0D-FC0B-6F49-B6CD-2750858715F8}"/>
  <tableColumns count="25">
    <tableColumn id="1" xr3:uid="{2A9C3D18-6B68-6947-8BF3-5E3EB244E966}" name="ID"/>
    <tableColumn id="3" xr3:uid="{D61BEFE4-F4BF-D448-8EA2-C0C8040DED3F}" name="Campaign Name"/>
    <tableColumn id="4" xr3:uid="{84EE939B-7B52-0B45-A6CF-140B9C3AC86F}" name="Subject Line"/>
    <tableColumn id="5" xr3:uid="{8AF28F3F-FCFA-BC4E-82B2-E5B6C0E8DA9A}" name="Sent On" dataDxfId="21"/>
    <tableColumn id="6" xr3:uid="{29D65005-92C7-F64C-AF1D-3AF0E1B01B64}" name="Time sent" dataDxfId="20"/>
    <tableColumn id="7" xr3:uid="{E6B0CDA7-1650-0347-99A0-149F483FCCFA}" name="Sent" dataDxfId="19"/>
    <tableColumn id="8" xr3:uid="{FE562149-216F-E94C-BA5D-0F727719C405}" name="Bounces" dataDxfId="18"/>
    <tableColumn id="9" xr3:uid="{8EBD1B9A-30F5-EE40-9FCC-B23A4C78C263}" name="Soft Bounces" dataDxfId="17"/>
    <tableColumn id="10" xr3:uid="{6E86A5BE-B30F-424B-85D0-5C92A9561581}" name="Hard Bounces" dataDxfId="16"/>
    <tableColumn id="11" xr3:uid="{0759950C-A0A0-9149-A63C-91DC4F105A4A}" name="Delivered" dataDxfId="15"/>
    <tableColumn id="12" xr3:uid="{CB68D13F-F1EA-E744-B70D-5C60D0AAE38E}" name="Total Opens" dataDxfId="14"/>
    <tableColumn id="13" xr3:uid="{9008C185-63E2-9A4E-9921-27100023F619}" name="Unique Opens" dataDxfId="13"/>
    <tableColumn id="14" xr3:uid="{CBAB3C6C-FB8D-4545-AA13-FFBFBD16C91C}" name="Total Clicks" dataDxfId="12"/>
    <tableColumn id="15" xr3:uid="{29A49206-09EF-0C4B-A4B9-26F0F16A31E4}" name="Unique Clicks" dataDxfId="11"/>
    <tableColumn id="16" xr3:uid="{53E11D35-095F-6246-B180-9E9108C502B8}" name="Opt Outs" dataDxfId="10"/>
    <tableColumn id="17" xr3:uid="{7C74CC72-8A8F-C14F-B791-E12CDE5097CF}" name="Conversions (visited product page)" dataDxfId="9"/>
    <tableColumn id="18" xr3:uid="{3D9EC849-7B98-424D-8576-1CA29363D42F}" name="Open rate" dataDxfId="8">
      <calculatedColumnFormula>SUM(L2/J2)</calculatedColumnFormula>
    </tableColumn>
    <tableColumn id="19" xr3:uid="{614F3814-63F1-494F-BD07-9469E2AA878E}" name="Conversion rate" dataDxfId="7">
      <calculatedColumnFormula>SUM(P2/J2)</calculatedColumnFormula>
    </tableColumn>
    <tableColumn id="27" xr3:uid="{44616700-5D78-B44F-BD4D-3746E36AD3C2}" name="Conversion rate Max" dataDxfId="6">
      <calculatedColumnFormula>IF(R2=MAX($R$2:$R$225),R2,NA())</calculatedColumnFormula>
    </tableColumn>
    <tableColumn id="26" xr3:uid="{604986E1-F6D1-2F4A-A0CF-53E6390322D9}" name="Conversion rate Min" dataDxfId="5">
      <calculatedColumnFormula>IF(R2=_xlfn.MINIFS($R$2:$R$225,$R$2:$R$225,"&lt;&gt;0"),R2,NA())</calculatedColumnFormula>
    </tableColumn>
    <tableColumn id="20" xr3:uid="{49F7E888-CD37-F647-909B-D43074BC7787}" name="Unsubscribe rate" dataDxfId="4">
      <calculatedColumnFormula>SUM(O2/J2)</calculatedColumnFormula>
    </tableColumn>
    <tableColumn id="21" xr3:uid="{5ED0C4CC-D672-4440-9153-69BC1751F687}" name="Click-to-open rate" dataDxfId="3" dataCellStyle="Percent">
      <calculatedColumnFormula>SUM(N2/L2)</calculatedColumnFormula>
    </tableColumn>
    <tableColumn id="22" xr3:uid="{3CDE8257-5CD3-7541-9694-611A9523CB33}" name="Email bounce rate" dataDxfId="2" dataCellStyle="Percent">
      <calculatedColumnFormula>SUM(G2/F2)</calculatedColumnFormula>
    </tableColumn>
    <tableColumn id="24" xr3:uid="{63396389-8565-5D41-A6A7-9EF13482F6E7}" name="CTR" dataDxfId="1" dataCellStyle="Percent">
      <calculatedColumnFormula>SUM(N2/J2)</calculatedColumnFormula>
    </tableColumn>
    <tableColumn id="23" xr3:uid="{199B1089-40E3-244A-922B-328ED0F79DA7}" name="Delivery rate"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ent_On" xr10:uid="{9B704DE3-7548-1443-BE9B-E6CD9D040749}" sourceName="Sent On">
  <pivotTables>
    <pivotTable tabId="28" name="PivotTable1"/>
    <pivotTable tabId="13" name="PivotTable1"/>
    <pivotTable tabId="24" name="PivotTable1"/>
    <pivotTable tabId="32" name="PivotTable7"/>
  </pivotTables>
  <state minimalRefreshVersion="6" lastRefreshVersion="6" pivotCacheId="984204739" filterType="unknown">
    <bounds startDate="2024-01-01T15:00:00" endDate="2025-01-01T15:46: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reated_date" xr10:uid="{960BCE2E-6106-E645-888F-5EE08F3DA195}" sourceName="Created date">
  <pivotTables>
    <pivotTable tabId="20" name="PivotTable2"/>
    <pivotTable tabId="17" name="PivotTable2"/>
    <pivotTable tabId="30" name="PivotTable2"/>
    <pivotTable tabId="33" name="PivotTable2"/>
  </pivotTables>
  <state minimalRefreshVersion="6" lastRefreshVersion="6" pivotCacheId="268097759" filterType="unknown">
    <bounds startDate="2017-01-01T00:00:00" endDate="2023-01-01T12:35:12"/>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reated date" xr10:uid="{C2A4DB1D-016A-5D47-BC9A-9817A0CC5EE9}" cache="NativeTimeline_Created_date" caption="Date" level="0" selectionLevel="0" scrollPosition="2017-01-01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ent On" xr10:uid="{951CB59D-B441-F644-8A39-65EA6DE909FD}" cache="NativeTimeline_Sent_On" caption="Sent On" level="2" selectionLevel="2" scrollPosition="2024-01-01T00:00:00" style="TimeSlicerStyleDark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36D2-BE0A-5D44-B7C4-3C6A78ED3273}">
  <dimension ref="B1:AD5"/>
  <sheetViews>
    <sheetView showGridLines="0" topLeftCell="N2" zoomScale="70" zoomScaleNormal="70" workbookViewId="0">
      <selection activeCell="O54" sqref="O54"/>
    </sheetView>
  </sheetViews>
  <sheetFormatPr baseColWidth="10" defaultRowHeight="15"/>
  <cols>
    <col min="1" max="1" width="3.33203125" style="28" customWidth="1"/>
    <col min="2" max="10" width="10.83203125" style="28"/>
    <col min="11" max="11" width="37.6640625" style="28" customWidth="1"/>
    <col min="12" max="12" width="4" style="28" customWidth="1"/>
    <col min="13" max="20" width="10.83203125" style="28"/>
    <col min="21" max="21" width="3" style="28" customWidth="1"/>
    <col min="22" max="16384" width="10.83203125" style="28"/>
  </cols>
  <sheetData>
    <row r="1" spans="2:30">
      <c r="B1" s="45" t="s">
        <v>1107</v>
      </c>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row>
    <row r="2" spans="2:30">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row>
    <row r="3" spans="2:30">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row>
    <row r="4" spans="2:30">
      <c r="B4" s="45"/>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row>
    <row r="5" spans="2:30">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row>
  </sheetData>
  <mergeCells count="1">
    <mergeCell ref="B1:AD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0AB90-6F1D-3C4A-8189-DDCDF2A8059F}">
  <dimension ref="B1:U257"/>
  <sheetViews>
    <sheetView showGridLines="0" tabSelected="1" zoomScale="90" zoomScaleNormal="90" workbookViewId="0">
      <selection activeCell="B43" sqref="B43:F43"/>
    </sheetView>
  </sheetViews>
  <sheetFormatPr baseColWidth="10" defaultRowHeight="15"/>
  <cols>
    <col min="1" max="1" width="3.33203125" style="28" customWidth="1"/>
    <col min="2" max="3" width="15.1640625" style="28" bestFit="1" customWidth="1"/>
    <col min="4" max="4" width="13.33203125" style="28" bestFit="1" customWidth="1"/>
    <col min="5" max="5" width="24" style="28" bestFit="1" customWidth="1"/>
    <col min="6" max="6" width="19" style="28" bestFit="1" customWidth="1"/>
    <col min="7" max="7" width="6.6640625" style="28" customWidth="1"/>
    <col min="8" max="8" width="10.83203125" style="28"/>
    <col min="9" max="9" width="14.1640625" style="28" customWidth="1"/>
    <col min="10" max="10" width="2.83203125" style="28" customWidth="1"/>
    <col min="11" max="14" width="10.83203125" style="28"/>
    <col min="15" max="15" width="3" style="28" customWidth="1"/>
    <col min="16" max="16384" width="10.83203125" style="28"/>
  </cols>
  <sheetData>
    <row r="1" spans="2:21" ht="15" customHeight="1">
      <c r="B1" s="46" t="s">
        <v>1106</v>
      </c>
      <c r="C1" s="46"/>
      <c r="D1" s="46"/>
      <c r="E1" s="46"/>
      <c r="F1" s="46"/>
      <c r="G1" s="46"/>
      <c r="H1" s="46"/>
      <c r="I1" s="46"/>
      <c r="J1" s="46"/>
      <c r="K1" s="46"/>
      <c r="L1" s="46"/>
      <c r="M1" s="46"/>
      <c r="N1" s="46"/>
      <c r="O1" s="46"/>
      <c r="P1" s="46"/>
      <c r="Q1" s="46"/>
      <c r="R1" s="46"/>
      <c r="S1" s="46"/>
      <c r="T1" s="46"/>
      <c r="U1" s="46"/>
    </row>
    <row r="2" spans="2:21" ht="15" customHeight="1">
      <c r="B2" s="46"/>
      <c r="C2" s="46"/>
      <c r="D2" s="46"/>
      <c r="E2" s="46"/>
      <c r="F2" s="46"/>
      <c r="G2" s="46"/>
      <c r="H2" s="46"/>
      <c r="I2" s="46"/>
      <c r="J2" s="46"/>
      <c r="K2" s="46"/>
      <c r="L2" s="46"/>
      <c r="M2" s="46"/>
      <c r="N2" s="46"/>
      <c r="O2" s="46"/>
      <c r="P2" s="46"/>
      <c r="Q2" s="46"/>
      <c r="R2" s="46"/>
      <c r="S2" s="46"/>
      <c r="T2" s="46"/>
      <c r="U2" s="46"/>
    </row>
    <row r="3" spans="2:21" ht="15" customHeight="1">
      <c r="B3" s="46"/>
      <c r="C3" s="46"/>
      <c r="D3" s="46"/>
      <c r="E3" s="46"/>
      <c r="F3" s="46"/>
      <c r="G3" s="46"/>
      <c r="H3" s="46"/>
      <c r="I3" s="46"/>
      <c r="J3" s="46"/>
      <c r="K3" s="46"/>
      <c r="L3" s="46"/>
      <c r="M3" s="46"/>
      <c r="N3" s="46"/>
      <c r="O3" s="46"/>
      <c r="P3" s="46"/>
      <c r="Q3" s="46"/>
      <c r="R3" s="46"/>
      <c r="S3" s="46"/>
      <c r="T3" s="46"/>
      <c r="U3" s="46"/>
    </row>
    <row r="4" spans="2:21" ht="15" customHeight="1">
      <c r="B4" s="46"/>
      <c r="C4" s="46"/>
      <c r="D4" s="46"/>
      <c r="E4" s="46"/>
      <c r="F4" s="46"/>
      <c r="G4" s="46"/>
      <c r="H4" s="46"/>
      <c r="I4" s="46"/>
      <c r="J4" s="46"/>
      <c r="K4" s="46"/>
      <c r="L4" s="46"/>
      <c r="M4" s="46"/>
      <c r="N4" s="46"/>
      <c r="O4" s="46"/>
      <c r="P4" s="46"/>
      <c r="Q4" s="46"/>
      <c r="R4" s="46"/>
      <c r="S4" s="46"/>
      <c r="T4" s="46"/>
      <c r="U4" s="46"/>
    </row>
    <row r="5" spans="2:21" ht="15" customHeight="1">
      <c r="B5" s="46"/>
      <c r="C5" s="46"/>
      <c r="D5" s="46"/>
      <c r="E5" s="46"/>
      <c r="F5" s="46"/>
      <c r="G5" s="46"/>
      <c r="H5" s="46"/>
      <c r="I5" s="46"/>
      <c r="J5" s="46"/>
      <c r="K5" s="46"/>
      <c r="L5" s="46"/>
      <c r="M5" s="46"/>
      <c r="N5" s="46"/>
      <c r="O5" s="46"/>
      <c r="P5" s="46"/>
      <c r="Q5" s="46"/>
      <c r="R5" s="46"/>
      <c r="S5" s="46"/>
      <c r="T5" s="46"/>
      <c r="U5" s="46"/>
    </row>
    <row r="43" spans="2:6" ht="21">
      <c r="B43" s="47" t="s">
        <v>1101</v>
      </c>
      <c r="C43" s="48"/>
      <c r="D43" s="48"/>
      <c r="E43" s="48"/>
      <c r="F43" s="49"/>
    </row>
    <row r="44" spans="2:6">
      <c r="B44" s="31"/>
      <c r="C44" s="32"/>
      <c r="D44" s="32"/>
      <c r="E44" s="32"/>
      <c r="F44" s="33"/>
    </row>
    <row r="45" spans="2:6">
      <c r="B45" s="34" t="s">
        <v>1102</v>
      </c>
      <c r="C45" s="35" t="s">
        <v>696</v>
      </c>
      <c r="D45" s="36" t="s">
        <v>1105</v>
      </c>
      <c r="E45" s="36" t="s">
        <v>1099</v>
      </c>
      <c r="F45" s="37" t="s">
        <v>1104</v>
      </c>
    </row>
    <row r="46" spans="2:6">
      <c r="B46" s="38" t="s">
        <v>967</v>
      </c>
      <c r="C46" s="36"/>
      <c r="D46" s="39">
        <v>0.23959164889174051</v>
      </c>
      <c r="E46" s="39">
        <v>0.16105579099020909</v>
      </c>
      <c r="F46" s="40">
        <v>0.50942381121742808</v>
      </c>
    </row>
    <row r="47" spans="2:6">
      <c r="B47" s="38" t="s">
        <v>1059</v>
      </c>
      <c r="C47" s="36"/>
      <c r="D47" s="39">
        <v>0.38145819951061377</v>
      </c>
      <c r="E47" s="39">
        <v>0.12841336327011765</v>
      </c>
      <c r="F47" s="40">
        <v>0.34622540427300386</v>
      </c>
    </row>
    <row r="48" spans="2:6">
      <c r="B48" s="38" t="s">
        <v>1049</v>
      </c>
      <c r="C48" s="36"/>
      <c r="D48" s="39">
        <v>0.42514488158607278</v>
      </c>
      <c r="E48" s="39">
        <v>0.15322120050548452</v>
      </c>
      <c r="F48" s="40">
        <v>0.43766802728932896</v>
      </c>
    </row>
    <row r="49" spans="2:6">
      <c r="B49" s="38" t="s">
        <v>1060</v>
      </c>
      <c r="C49" s="36"/>
      <c r="D49" s="39">
        <v>0.51041666666666663</v>
      </c>
      <c r="E49" s="39">
        <v>7.2916666666666671E-2</v>
      </c>
      <c r="F49" s="40">
        <v>0.15625</v>
      </c>
    </row>
    <row r="50" spans="2:6">
      <c r="B50" s="38" t="s">
        <v>966</v>
      </c>
      <c r="C50" s="36"/>
      <c r="D50" s="39">
        <v>0.27159124084934111</v>
      </c>
      <c r="E50" s="39">
        <v>0.11844130569486133</v>
      </c>
      <c r="F50" s="40">
        <v>0.4342223713167877</v>
      </c>
    </row>
    <row r="51" spans="2:6">
      <c r="B51" s="38" t="s">
        <v>1056</v>
      </c>
      <c r="C51" s="36"/>
      <c r="D51" s="39">
        <v>0.27916141853110166</v>
      </c>
      <c r="E51" s="39">
        <v>9.1860101381089826E-2</v>
      </c>
      <c r="F51" s="40">
        <v>0.43965124474465572</v>
      </c>
    </row>
    <row r="52" spans="2:6">
      <c r="B52" s="38" t="s">
        <v>1055</v>
      </c>
      <c r="C52" s="36"/>
      <c r="D52" s="39">
        <v>0.25997040766446899</v>
      </c>
      <c r="E52" s="39">
        <v>3.2198364069063568E-2</v>
      </c>
      <c r="F52" s="40">
        <v>0.39360798722474455</v>
      </c>
    </row>
    <row r="53" spans="2:6">
      <c r="B53" s="38" t="s">
        <v>1053</v>
      </c>
      <c r="C53" s="36"/>
      <c r="D53" s="39">
        <v>0.28596960566486807</v>
      </c>
      <c r="E53" s="39">
        <v>2.4338691334445755E-2</v>
      </c>
      <c r="F53" s="40">
        <v>0.41648479891667928</v>
      </c>
    </row>
    <row r="54" spans="2:6">
      <c r="B54" s="38" t="s">
        <v>1052</v>
      </c>
      <c r="C54" s="36"/>
      <c r="D54" s="39">
        <v>0.38436522518069977</v>
      </c>
      <c r="E54" s="39">
        <v>5.5887995069133091E-2</v>
      </c>
      <c r="F54" s="40">
        <v>0.32423390380386991</v>
      </c>
    </row>
    <row r="55" spans="2:6">
      <c r="B55" s="38" t="s">
        <v>1050</v>
      </c>
      <c r="C55" s="36"/>
      <c r="D55" s="39">
        <v>0.24501082974957228</v>
      </c>
      <c r="E55" s="39">
        <v>3.5791234285568241E-2</v>
      </c>
      <c r="F55" s="40">
        <v>0.35971082107332863</v>
      </c>
    </row>
    <row r="56" spans="2:6">
      <c r="B56" s="38" t="s">
        <v>697</v>
      </c>
      <c r="C56" s="36"/>
      <c r="D56" s="39">
        <v>0.63940001719825768</v>
      </c>
      <c r="E56" s="39">
        <v>0.42830233564078884</v>
      </c>
      <c r="F56" s="40">
        <v>0.78854075722918848</v>
      </c>
    </row>
    <row r="57" spans="2:6">
      <c r="B57" s="38" t="s">
        <v>962</v>
      </c>
      <c r="C57" s="36"/>
      <c r="D57" s="39">
        <v>0.48660714285714285</v>
      </c>
      <c r="E57" s="39">
        <v>0.20089285714285715</v>
      </c>
      <c r="F57" s="40">
        <v>8.2589285714285712E-2</v>
      </c>
    </row>
    <row r="58" spans="2:6">
      <c r="B58" s="38" t="s">
        <v>1061</v>
      </c>
      <c r="C58" s="36"/>
      <c r="D58" s="39">
        <v>0.43181818181818182</v>
      </c>
      <c r="E58" s="39">
        <v>0.19696969696969696</v>
      </c>
      <c r="F58" s="40">
        <v>0.25757575757575757</v>
      </c>
    </row>
    <row r="59" spans="2:6">
      <c r="B59" s="38" t="s">
        <v>964</v>
      </c>
      <c r="C59" s="36"/>
      <c r="D59" s="39">
        <v>0.22203031713184521</v>
      </c>
      <c r="E59" s="39">
        <v>1.7441041501537483E-2</v>
      </c>
      <c r="F59" s="40">
        <v>0.45218468226209479</v>
      </c>
    </row>
    <row r="60" spans="2:6">
      <c r="B60" s="38" t="s">
        <v>1057</v>
      </c>
      <c r="C60" s="36"/>
      <c r="D60" s="39">
        <v>0.66310160427807485</v>
      </c>
      <c r="E60" s="39">
        <v>0.29303539597657247</v>
      </c>
      <c r="F60" s="40">
        <v>0.16144639674051439</v>
      </c>
    </row>
    <row r="61" spans="2:6">
      <c r="B61" s="38" t="s">
        <v>1058</v>
      </c>
      <c r="C61" s="36"/>
      <c r="D61" s="39">
        <v>0.28969668443231089</v>
      </c>
      <c r="E61" s="39">
        <v>0.14048580172886044</v>
      </c>
      <c r="F61" s="40">
        <v>0.40098902979292039</v>
      </c>
    </row>
    <row r="62" spans="2:6">
      <c r="B62" s="38" t="s">
        <v>1051</v>
      </c>
      <c r="C62" s="36"/>
      <c r="D62" s="39">
        <v>0.52946046519914991</v>
      </c>
      <c r="E62" s="39">
        <v>0.15907110981050482</v>
      </c>
      <c r="F62" s="40">
        <v>0.30948191221438487</v>
      </c>
    </row>
    <row r="63" spans="2:6">
      <c r="B63" s="38" t="s">
        <v>1054</v>
      </c>
      <c r="C63" s="36"/>
      <c r="D63" s="39">
        <v>0.38610052188036775</v>
      </c>
      <c r="E63" s="39">
        <v>9.7433622788051039E-2</v>
      </c>
      <c r="F63" s="40">
        <v>0.36425606752008827</v>
      </c>
    </row>
    <row r="64" spans="2:6">
      <c r="B64" s="38" t="s">
        <v>1048</v>
      </c>
      <c r="C64" s="36"/>
      <c r="D64" s="39">
        <v>0.27110582639714625</v>
      </c>
      <c r="E64" s="39">
        <v>5.4696789536266346E-2</v>
      </c>
      <c r="F64" s="40">
        <v>0.35909631391200952</v>
      </c>
    </row>
    <row r="65" spans="2:6">
      <c r="B65" s="38" t="s">
        <v>963</v>
      </c>
      <c r="C65" s="36"/>
      <c r="D65" s="39">
        <v>0.27493077616200678</v>
      </c>
      <c r="E65" s="39">
        <v>2.8059825181034313E-2</v>
      </c>
      <c r="F65" s="40">
        <v>0.39908578494241764</v>
      </c>
    </row>
    <row r="66" spans="2:6">
      <c r="B66" s="38" t="s">
        <v>965</v>
      </c>
      <c r="C66" s="36"/>
      <c r="D66" s="39">
        <v>0.22044523606795488</v>
      </c>
      <c r="E66" s="39">
        <v>6.9584055293425887E-2</v>
      </c>
      <c r="F66" s="40">
        <v>0.38877365610123382</v>
      </c>
    </row>
    <row r="67" spans="2:6">
      <c r="B67" s="41" t="s">
        <v>1046</v>
      </c>
      <c r="C67" s="42"/>
      <c r="D67" s="43">
        <v>0.3465390509534319</v>
      </c>
      <c r="E67" s="43">
        <v>0.11305134964813557</v>
      </c>
      <c r="F67" s="44">
        <v>0.40182780382411643</v>
      </c>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sheetData>
  <mergeCells count="2">
    <mergeCell ref="B1:U5"/>
    <mergeCell ref="B43:F43"/>
  </mergeCells>
  <conditionalFormatting pivot="1">
    <cfRule type="colorScale" priority="23">
      <colorScale>
        <cfvo type="min"/>
        <cfvo type="percentile" val="50"/>
        <cfvo type="max"/>
        <color rgb="FFF8696B"/>
        <color rgb="FFFFEB84"/>
        <color rgb="FF63BE7B"/>
      </colorScale>
    </cfRule>
  </conditionalFormatting>
  <conditionalFormatting pivot="1">
    <cfRule type="colorScale" priority="22">
      <colorScale>
        <cfvo type="min"/>
        <cfvo type="percentile" val="50"/>
        <cfvo type="max"/>
        <color rgb="FFF8696B"/>
        <color rgb="FFFFEB84"/>
        <color rgb="FF63BE7B"/>
      </colorScale>
    </cfRule>
  </conditionalFormatting>
  <conditionalFormatting pivot="1">
    <cfRule type="colorScale" priority="21">
      <colorScale>
        <cfvo type="min"/>
        <cfvo type="percentile" val="50"/>
        <cfvo type="max"/>
        <color rgb="FFF8696B"/>
        <color rgb="FFFFEB84"/>
        <color rgb="FF63BE7B"/>
      </colorScale>
    </cfRule>
  </conditionalFormatting>
  <conditionalFormatting pivot="1">
    <cfRule type="colorScale" priority="20">
      <colorScale>
        <cfvo type="min"/>
        <cfvo type="percentile" val="50"/>
        <cfvo type="max"/>
        <color rgb="FFF8696B"/>
        <color rgb="FFFFEB84"/>
        <color rgb="FF63BE7B"/>
      </colorScale>
    </cfRule>
  </conditionalFormatting>
  <conditionalFormatting pivot="1">
    <cfRule type="colorScale" priority="19">
      <colorScale>
        <cfvo type="min"/>
        <cfvo type="percentile" val="50"/>
        <cfvo type="max"/>
        <color rgb="FFF8696B"/>
        <color rgb="FFFFEB84"/>
        <color rgb="FF63BE7B"/>
      </colorScale>
    </cfRule>
  </conditionalFormatting>
  <conditionalFormatting pivot="1">
    <cfRule type="colorScale" priority="18">
      <colorScale>
        <cfvo type="min"/>
        <cfvo type="percentile" val="50"/>
        <cfvo type="max"/>
        <color rgb="FFF8696B"/>
        <color rgb="FFFFEB84"/>
        <color rgb="FF63BE7B"/>
      </colorScale>
    </cfRule>
  </conditionalFormatting>
  <conditionalFormatting pivot="1">
    <cfRule type="colorScale" priority="17">
      <colorScale>
        <cfvo type="min"/>
        <cfvo type="percentile" val="50"/>
        <cfvo type="max"/>
        <color rgb="FFF8696B"/>
        <color rgb="FFFFEB84"/>
        <color rgb="FF63BE7B"/>
      </colorScale>
    </cfRule>
  </conditionalFormatting>
  <conditionalFormatting pivot="1">
    <cfRule type="colorScale" priority="16">
      <colorScale>
        <cfvo type="min"/>
        <cfvo type="percentile" val="50"/>
        <cfvo type="max"/>
        <color rgb="FFF8696B"/>
        <color rgb="FFFFEB84"/>
        <color rgb="FF63BE7B"/>
      </colorScale>
    </cfRule>
  </conditionalFormatting>
  <conditionalFormatting pivot="1">
    <cfRule type="colorScale" priority="15">
      <colorScale>
        <cfvo type="min"/>
        <cfvo type="percentile" val="50"/>
        <cfvo type="max"/>
        <color rgb="FFF8696B"/>
        <color rgb="FFFFEB84"/>
        <color rgb="FF63BE7B"/>
      </colorScale>
    </cfRule>
  </conditionalFormatting>
  <conditionalFormatting pivot="1">
    <cfRule type="colorScale" priority="14">
      <colorScale>
        <cfvo type="min"/>
        <cfvo type="percentile" val="50"/>
        <cfvo type="max"/>
        <color rgb="FFF8696B"/>
        <color rgb="FFFFEB84"/>
        <color rgb="FF63BE7B"/>
      </colorScale>
    </cfRule>
  </conditionalFormatting>
  <conditionalFormatting pivot="1">
    <cfRule type="colorScale" priority="13">
      <colorScale>
        <cfvo type="min"/>
        <cfvo type="percentile" val="50"/>
        <cfvo type="max"/>
        <color rgb="FFF8696B"/>
        <color rgb="FFFFEB84"/>
        <color rgb="FF63BE7B"/>
      </colorScale>
    </cfRule>
  </conditionalFormatting>
  <conditionalFormatting pivot="1">
    <cfRule type="colorScale" priority="12">
      <colorScale>
        <cfvo type="min"/>
        <cfvo type="percentile" val="50"/>
        <cfvo type="max"/>
        <color rgb="FFF8696B"/>
        <color rgb="FFFFEB84"/>
        <color rgb="FF63BE7B"/>
      </colorScale>
    </cfRule>
  </conditionalFormatting>
  <conditionalFormatting pivot="1">
    <cfRule type="colorScale" priority="11">
      <colorScale>
        <cfvo type="min"/>
        <cfvo type="percentile" val="50"/>
        <cfvo type="max"/>
        <color rgb="FFF8696B"/>
        <color rgb="FFFFEB84"/>
        <color rgb="FF63BE7B"/>
      </colorScale>
    </cfRule>
  </conditionalFormatting>
  <conditionalFormatting pivot="1">
    <cfRule type="colorScale" priority="10">
      <colorScale>
        <cfvo type="min"/>
        <cfvo type="percentile" val="50"/>
        <cfvo type="max"/>
        <color rgb="FFF8696B"/>
        <color rgb="FFFFEB84"/>
        <color rgb="FF63BE7B"/>
      </colorScale>
    </cfRule>
  </conditionalFormatting>
  <conditionalFormatting pivot="1">
    <cfRule type="colorScale" priority="9">
      <colorScale>
        <cfvo type="min"/>
        <cfvo type="percentile" val="50"/>
        <cfvo type="max"/>
        <color rgb="FFF8696B"/>
        <color rgb="FFFFEB84"/>
        <color rgb="FF63BE7B"/>
      </colorScale>
    </cfRule>
  </conditionalFormatting>
  <conditionalFormatting pivot="1">
    <cfRule type="colorScale" priority="8">
      <colorScale>
        <cfvo type="min"/>
        <cfvo type="percentile" val="50"/>
        <cfvo type="max"/>
        <color rgb="FFF8696B"/>
        <color rgb="FFFFEB84"/>
        <color rgb="FF63BE7B"/>
      </colorScale>
    </cfRule>
  </conditionalFormatting>
  <conditionalFormatting pivot="1">
    <cfRule type="colorScale" priority="7">
      <colorScale>
        <cfvo type="min"/>
        <cfvo type="percentile" val="50"/>
        <cfvo type="max"/>
        <color rgb="FFF8696B"/>
        <color rgb="FFFFEB84"/>
        <color rgb="FF63BE7B"/>
      </colorScale>
    </cfRule>
  </conditionalFormatting>
  <conditionalFormatting pivot="1">
    <cfRule type="colorScale" priority="6">
      <colorScale>
        <cfvo type="min"/>
        <cfvo type="percentile" val="50"/>
        <cfvo type="max"/>
        <color rgb="FFF8696B"/>
        <color rgb="FFFFEB84"/>
        <color rgb="FF63BE7B"/>
      </colorScale>
    </cfRule>
  </conditionalFormatting>
  <conditionalFormatting pivot="1">
    <cfRule type="colorScale" priority="5">
      <colorScale>
        <cfvo type="min"/>
        <cfvo type="percentile" val="50"/>
        <cfvo type="max"/>
        <color rgb="FFF8696B"/>
        <color rgb="FFFFEB84"/>
        <color rgb="FF63BE7B"/>
      </colorScale>
    </cfRule>
  </conditionalFormatting>
  <conditionalFormatting pivot="1">
    <cfRule type="colorScale" priority="4">
      <colorScale>
        <cfvo type="min"/>
        <cfvo type="percentile" val="50"/>
        <cfvo type="max"/>
        <color rgb="FFF8696B"/>
        <color rgb="FFFFEB84"/>
        <color rgb="FF63BE7B"/>
      </colorScale>
    </cfRule>
  </conditionalFormatting>
  <conditionalFormatting pivot="1">
    <cfRule type="colorScale" priority="3">
      <colorScale>
        <cfvo type="min"/>
        <cfvo type="percentile" val="50"/>
        <cfvo type="max"/>
        <color rgb="FFF8696B"/>
        <color rgb="FFFFEB84"/>
        <color rgb="FF63BE7B"/>
      </colorScale>
    </cfRule>
  </conditionalFormatting>
  <conditionalFormatting pivot="1" sqref="D46:F48">
    <cfRule type="colorScale" priority="2">
      <colorScale>
        <cfvo type="min"/>
        <cfvo type="percentile" val="50"/>
        <cfvo type="max"/>
        <color rgb="FFF8696B"/>
        <color rgb="FFFFEB84"/>
        <color rgb="FF63BE7B"/>
      </colorScale>
    </cfRule>
  </conditionalFormatting>
  <conditionalFormatting pivot="1" sqref="D46:F6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7D111-A4A4-1043-94F7-EB92973D0FAD}">
  <dimension ref="A3:B14"/>
  <sheetViews>
    <sheetView workbookViewId="0">
      <selection activeCell="C26" sqref="C26"/>
    </sheetView>
  </sheetViews>
  <sheetFormatPr baseColWidth="10" defaultRowHeight="15"/>
  <cols>
    <col min="1" max="1" width="16.6640625" bestFit="1" customWidth="1"/>
    <col min="2" max="2" width="16" bestFit="1" customWidth="1"/>
    <col min="3" max="3" width="19.33203125" bestFit="1" customWidth="1"/>
  </cols>
  <sheetData>
    <row r="3" spans="1:2">
      <c r="B3" t="s">
        <v>1073</v>
      </c>
    </row>
    <row r="4" spans="1:2">
      <c r="A4" s="19" t="s">
        <v>273</v>
      </c>
      <c r="B4" s="30">
        <v>27</v>
      </c>
    </row>
    <row r="5" spans="1:2">
      <c r="A5" s="19" t="s">
        <v>275</v>
      </c>
      <c r="B5" s="30">
        <v>7</v>
      </c>
    </row>
    <row r="6" spans="1:2">
      <c r="A6" s="19" t="s">
        <v>274</v>
      </c>
      <c r="B6" s="30">
        <v>91</v>
      </c>
    </row>
    <row r="7" spans="1:2">
      <c r="A7" s="19" t="s">
        <v>278</v>
      </c>
      <c r="B7" s="30">
        <v>4</v>
      </c>
    </row>
    <row r="8" spans="1:2">
      <c r="A8" s="19" t="s">
        <v>276</v>
      </c>
      <c r="B8" s="30">
        <v>16</v>
      </c>
    </row>
    <row r="9" spans="1:2">
      <c r="A9" s="19" t="s">
        <v>277</v>
      </c>
      <c r="B9" s="30">
        <v>2</v>
      </c>
    </row>
    <row r="10" spans="1:2">
      <c r="A10" s="19" t="s">
        <v>279</v>
      </c>
      <c r="B10" s="30">
        <v>22</v>
      </c>
    </row>
    <row r="11" spans="1:2">
      <c r="A11" s="19" t="s">
        <v>280</v>
      </c>
      <c r="B11" s="30">
        <v>3</v>
      </c>
    </row>
    <row r="12" spans="1:2">
      <c r="A12" s="19" t="s">
        <v>272</v>
      </c>
      <c r="B12" s="30">
        <v>412</v>
      </c>
    </row>
    <row r="13" spans="1:2">
      <c r="A13" s="19" t="s">
        <v>1108</v>
      </c>
      <c r="B13" s="30">
        <v>148</v>
      </c>
    </row>
    <row r="14" spans="1:2">
      <c r="A14" s="19" t="s">
        <v>1046</v>
      </c>
      <c r="B14" s="30">
        <v>732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E3C9E-A0E8-EB4B-BBFD-867C57F18849}">
  <dimension ref="A3:B16"/>
  <sheetViews>
    <sheetView workbookViewId="0">
      <selection activeCell="I7" sqref="I7"/>
    </sheetView>
  </sheetViews>
  <sheetFormatPr baseColWidth="10" defaultRowHeight="15"/>
  <cols>
    <col min="1" max="1" width="16.5" bestFit="1" customWidth="1"/>
    <col min="2" max="2" width="15" bestFit="1" customWidth="1"/>
    <col min="3" max="3" width="19.33203125" bestFit="1" customWidth="1"/>
  </cols>
  <sheetData>
    <row r="3" spans="1:2">
      <c r="B3" t="s">
        <v>1045</v>
      </c>
    </row>
    <row r="4" spans="1:2">
      <c r="A4" s="19" t="s">
        <v>320</v>
      </c>
      <c r="B4" s="30">
        <v>143</v>
      </c>
    </row>
    <row r="5" spans="1:2">
      <c r="A5" s="19" t="s">
        <v>678</v>
      </c>
      <c r="B5" s="30">
        <v>129</v>
      </c>
    </row>
    <row r="6" spans="1:2">
      <c r="A6" s="19" t="s">
        <v>357</v>
      </c>
      <c r="B6" s="30">
        <v>107</v>
      </c>
    </row>
    <row r="7" spans="1:2">
      <c r="A7" s="19" t="s">
        <v>1068</v>
      </c>
      <c r="B7" s="30">
        <v>91</v>
      </c>
    </row>
    <row r="8" spans="1:2">
      <c r="A8" s="19" t="s">
        <v>1042</v>
      </c>
      <c r="B8" s="30">
        <v>78</v>
      </c>
    </row>
    <row r="9" spans="1:2">
      <c r="A9" s="19" t="s">
        <v>363</v>
      </c>
      <c r="B9" s="30">
        <v>67</v>
      </c>
    </row>
    <row r="10" spans="1:2">
      <c r="A10" s="19" t="s">
        <v>401</v>
      </c>
      <c r="B10" s="30">
        <v>37</v>
      </c>
    </row>
    <row r="11" spans="1:2">
      <c r="A11" s="19" t="s">
        <v>1108</v>
      </c>
      <c r="B11" s="30">
        <v>34</v>
      </c>
    </row>
    <row r="12" spans="1:2">
      <c r="A12" s="19" t="s">
        <v>346</v>
      </c>
      <c r="B12" s="30">
        <v>15</v>
      </c>
    </row>
    <row r="13" spans="1:2">
      <c r="A13" s="19" t="s">
        <v>1041</v>
      </c>
      <c r="B13" s="30">
        <v>13</v>
      </c>
    </row>
    <row r="14" spans="1:2">
      <c r="A14" s="19" t="s">
        <v>306</v>
      </c>
      <c r="B14" s="30">
        <v>12</v>
      </c>
    </row>
    <row r="15" spans="1:2">
      <c r="A15" s="19" t="s">
        <v>303</v>
      </c>
      <c r="B15" s="30">
        <v>6</v>
      </c>
    </row>
    <row r="16" spans="1:2">
      <c r="A16" s="19" t="s">
        <v>1046</v>
      </c>
      <c r="B16" s="30">
        <v>732</v>
      </c>
    </row>
  </sheetData>
  <sortState ref="A3:B16">
    <sortCondition ref="A4"/>
  </sortState>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0E9A1-3924-9F4B-8F78-5CC0C9AAF6C1}">
  <dimension ref="A3:G8"/>
  <sheetViews>
    <sheetView zoomScale="119" workbookViewId="0">
      <selection activeCell="D16" sqref="D16"/>
    </sheetView>
  </sheetViews>
  <sheetFormatPr baseColWidth="10" defaultRowHeight="15"/>
  <cols>
    <col min="1" max="1" width="6.83203125" bestFit="1" customWidth="1"/>
    <col min="2" max="3" width="16" bestFit="1" customWidth="1"/>
    <col min="4" max="4" width="7.83203125" bestFit="1" customWidth="1"/>
    <col min="5" max="6" width="15.6640625" customWidth="1"/>
    <col min="7" max="7" width="9" bestFit="1" customWidth="1"/>
    <col min="8" max="8" width="7.33203125" bestFit="1" customWidth="1"/>
    <col min="9" max="9" width="5" bestFit="1" customWidth="1"/>
    <col min="10" max="10" width="12.1640625" bestFit="1" customWidth="1"/>
    <col min="11" max="11" width="14.33203125" bestFit="1" customWidth="1"/>
    <col min="12" max="12" width="19.83203125" bestFit="1" customWidth="1"/>
    <col min="13" max="13" width="4.5" customWidth="1"/>
    <col min="14" max="14" width="3.83203125" bestFit="1" customWidth="1"/>
    <col min="15" max="15" width="3.33203125" bestFit="1" customWidth="1"/>
    <col min="16" max="16" width="4.1640625" bestFit="1" customWidth="1"/>
    <col min="17" max="18" width="12" bestFit="1" customWidth="1"/>
    <col min="19" max="19" width="3.83203125" bestFit="1" customWidth="1"/>
    <col min="20" max="21" width="4.1640625" bestFit="1" customWidth="1"/>
    <col min="22" max="22" width="14.5" bestFit="1" customWidth="1"/>
    <col min="23" max="23" width="14" bestFit="1" customWidth="1"/>
    <col min="24" max="25" width="4.1640625" bestFit="1" customWidth="1"/>
    <col min="26" max="26" width="16.6640625" bestFit="1" customWidth="1"/>
    <col min="27" max="27" width="10.6640625" bestFit="1" customWidth="1"/>
    <col min="28" max="28" width="3.83203125" bestFit="1" customWidth="1"/>
    <col min="29" max="30" width="4.1640625" bestFit="1" customWidth="1"/>
    <col min="31" max="31" width="13.1640625" bestFit="1" customWidth="1"/>
    <col min="32" max="32" width="9" bestFit="1" customWidth="1"/>
    <col min="33" max="33" width="3.83203125" bestFit="1" customWidth="1"/>
    <col min="34" max="35" width="4.1640625" bestFit="1" customWidth="1"/>
    <col min="36" max="36" width="11.5" bestFit="1" customWidth="1"/>
    <col min="37" max="37" width="6.6640625" bestFit="1" customWidth="1"/>
    <col min="38" max="38" width="4.5" bestFit="1" customWidth="1"/>
    <col min="39" max="39" width="3.83203125" bestFit="1" customWidth="1"/>
    <col min="40" max="40" width="3.33203125" bestFit="1" customWidth="1"/>
    <col min="41" max="41" width="4.1640625" bestFit="1" customWidth="1"/>
    <col min="42" max="42" width="4" bestFit="1" customWidth="1"/>
    <col min="43" max="43" width="3.83203125" bestFit="1" customWidth="1"/>
    <col min="44" max="44" width="4.1640625" bestFit="1" customWidth="1"/>
    <col min="45" max="45" width="9.1640625" bestFit="1" customWidth="1"/>
    <col min="46" max="46" width="8.5" bestFit="1" customWidth="1"/>
    <col min="47" max="47" width="3.83203125" bestFit="1" customWidth="1"/>
    <col min="48" max="49" width="4.1640625" bestFit="1" customWidth="1"/>
    <col min="50" max="50" width="11" bestFit="1" customWidth="1"/>
    <col min="51" max="51" width="10" bestFit="1" customWidth="1"/>
    <col min="52" max="52" width="9.33203125" bestFit="1" customWidth="1"/>
    <col min="53" max="53" width="13.1640625" bestFit="1" customWidth="1"/>
    <col min="54" max="55" width="9" bestFit="1" customWidth="1"/>
    <col min="56" max="56" width="6.5" bestFit="1" customWidth="1"/>
    <col min="57" max="58" width="4.1640625" bestFit="1" customWidth="1"/>
    <col min="59" max="59" width="9" bestFit="1" customWidth="1"/>
    <col min="60" max="60" width="9.33203125" bestFit="1" customWidth="1"/>
    <col min="61" max="61" width="11.5" bestFit="1" customWidth="1"/>
    <col min="62" max="62" width="6.83203125" bestFit="1" customWidth="1"/>
    <col min="63" max="63" width="9" bestFit="1" customWidth="1"/>
    <col min="64" max="64" width="9.33203125" bestFit="1" customWidth="1"/>
    <col min="65" max="65" width="6.83203125" bestFit="1" customWidth="1"/>
    <col min="66" max="66" width="3.83203125" bestFit="1" customWidth="1"/>
    <col min="67" max="67" width="9" bestFit="1" customWidth="1"/>
    <col min="68" max="68" width="6.5" bestFit="1" customWidth="1"/>
    <col min="69" max="69" width="9" bestFit="1" customWidth="1"/>
    <col min="70" max="70" width="9.33203125" bestFit="1" customWidth="1"/>
    <col min="71" max="71" width="6.83203125" bestFit="1" customWidth="1"/>
    <col min="72" max="72" width="9" bestFit="1" customWidth="1"/>
    <col min="73" max="73" width="6.5" bestFit="1" customWidth="1"/>
    <col min="74" max="74" width="4.1640625" bestFit="1" customWidth="1"/>
    <col min="75" max="75" width="4" bestFit="1" customWidth="1"/>
    <col min="76" max="76" width="9" bestFit="1" customWidth="1"/>
    <col min="77" max="77" width="6.5" bestFit="1" customWidth="1"/>
    <col min="78" max="78" width="4.1640625" bestFit="1" customWidth="1"/>
    <col min="79" max="79" width="9" bestFit="1" customWidth="1"/>
    <col min="80" max="80" width="9.33203125" bestFit="1" customWidth="1"/>
    <col min="81" max="81" width="6.83203125" bestFit="1" customWidth="1"/>
    <col min="82" max="82" width="9" bestFit="1" customWidth="1"/>
    <col min="83" max="83" width="9.33203125" bestFit="1" customWidth="1"/>
    <col min="84" max="84" width="9.1640625" bestFit="1" customWidth="1"/>
    <col min="85" max="85" width="8.5" bestFit="1" customWidth="1"/>
    <col min="86" max="86" width="9" bestFit="1" customWidth="1"/>
    <col min="87" max="87" width="9.33203125" bestFit="1" customWidth="1"/>
    <col min="88" max="88" width="6.83203125" bestFit="1" customWidth="1"/>
    <col min="89" max="90" width="4.1640625" bestFit="1" customWidth="1"/>
    <col min="91" max="91" width="9" bestFit="1" customWidth="1"/>
    <col min="92" max="92" width="9.33203125" bestFit="1" customWidth="1"/>
    <col min="93" max="93" width="11" bestFit="1" customWidth="1"/>
    <col min="94" max="94" width="10" bestFit="1" customWidth="1"/>
    <col min="175" max="176" width="12" bestFit="1" customWidth="1"/>
    <col min="247" max="247" width="14.5" bestFit="1" customWidth="1"/>
    <col min="248" max="248" width="14" bestFit="1" customWidth="1"/>
    <col min="399" max="399" width="16.6640625" bestFit="1" customWidth="1"/>
    <col min="504" max="504" width="13.1640625" bestFit="1" customWidth="1"/>
    <col min="653" max="653" width="11.5" bestFit="1" customWidth="1"/>
    <col min="833" max="833" width="9.1640625" bestFit="1" customWidth="1"/>
    <col min="854" max="854" width="11" bestFit="1" customWidth="1"/>
    <col min="855" max="855" width="10" bestFit="1" customWidth="1"/>
  </cols>
  <sheetData>
    <row r="3" spans="1:7">
      <c r="B3" t="s">
        <v>1073</v>
      </c>
    </row>
    <row r="4" spans="1:7">
      <c r="A4" s="19" t="s">
        <v>1064</v>
      </c>
      <c r="B4" s="30">
        <v>29</v>
      </c>
    </row>
    <row r="5" spans="1:7">
      <c r="A5" s="19" t="s">
        <v>1067</v>
      </c>
      <c r="B5" s="30">
        <v>67</v>
      </c>
      <c r="G5" s="16"/>
    </row>
    <row r="6" spans="1:7">
      <c r="A6" s="19" t="s">
        <v>1066</v>
      </c>
      <c r="B6" s="30">
        <v>228</v>
      </c>
      <c r="G6" s="16"/>
    </row>
    <row r="7" spans="1:7">
      <c r="A7" s="19" t="s">
        <v>1065</v>
      </c>
      <c r="B7" s="30">
        <v>341</v>
      </c>
      <c r="G7" s="16"/>
    </row>
    <row r="8" spans="1:7">
      <c r="A8" s="19" t="s">
        <v>1063</v>
      </c>
      <c r="B8" s="30">
        <v>732</v>
      </c>
      <c r="G8" s="16"/>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B1267-486F-8846-9309-07D08DF4837A}">
  <dimension ref="A3:K32"/>
  <sheetViews>
    <sheetView topLeftCell="J1" workbookViewId="0">
      <selection activeCell="AF49" sqref="AF49"/>
    </sheetView>
  </sheetViews>
  <sheetFormatPr baseColWidth="10" defaultRowHeight="15"/>
  <cols>
    <col min="1" max="1" width="16" bestFit="1" customWidth="1"/>
    <col min="2" max="2" width="21.1640625" bestFit="1" customWidth="1"/>
    <col min="3" max="10" width="12.33203125" bestFit="1" customWidth="1"/>
    <col min="11" max="14" width="10" bestFit="1" customWidth="1"/>
    <col min="15" max="15" width="3.33203125" bestFit="1" customWidth="1"/>
    <col min="16" max="16" width="4.1640625" bestFit="1" customWidth="1"/>
    <col min="17" max="18" width="12" bestFit="1" customWidth="1"/>
    <col min="19" max="19" width="3.83203125" bestFit="1" customWidth="1"/>
    <col min="20" max="21" width="4.1640625" bestFit="1" customWidth="1"/>
    <col min="22" max="22" width="14.5" bestFit="1" customWidth="1"/>
    <col min="23" max="23" width="14" bestFit="1" customWidth="1"/>
    <col min="24" max="25" width="4.1640625" bestFit="1" customWidth="1"/>
    <col min="26" max="26" width="16.6640625" bestFit="1" customWidth="1"/>
    <col min="27" max="27" width="10.6640625" bestFit="1" customWidth="1"/>
    <col min="28" max="28" width="3.83203125" bestFit="1" customWidth="1"/>
    <col min="29" max="30" width="4.1640625" bestFit="1" customWidth="1"/>
    <col min="31" max="31" width="13.1640625" bestFit="1" customWidth="1"/>
    <col min="32" max="32" width="9" bestFit="1" customWidth="1"/>
    <col min="33" max="33" width="3.83203125" bestFit="1" customWidth="1"/>
    <col min="34" max="35" width="4.1640625" bestFit="1" customWidth="1"/>
    <col min="36" max="36" width="11.5" bestFit="1" customWidth="1"/>
    <col min="37" max="37" width="6.6640625" bestFit="1" customWidth="1"/>
    <col min="38" max="38" width="4.5" bestFit="1" customWidth="1"/>
    <col min="39" max="39" width="3.83203125" bestFit="1" customWidth="1"/>
    <col min="40" max="40" width="3.33203125" bestFit="1" customWidth="1"/>
    <col min="41" max="41" width="4.1640625" bestFit="1" customWidth="1"/>
    <col min="42" max="42" width="4" bestFit="1" customWidth="1"/>
    <col min="43" max="43" width="3.83203125" bestFit="1" customWidth="1"/>
    <col min="44" max="44" width="4.1640625" bestFit="1" customWidth="1"/>
    <col min="45" max="45" width="9.1640625" bestFit="1" customWidth="1"/>
    <col min="46" max="46" width="8.5" bestFit="1" customWidth="1"/>
    <col min="47" max="47" width="3.83203125" bestFit="1" customWidth="1"/>
    <col min="48" max="49" width="4.1640625" bestFit="1" customWidth="1"/>
    <col min="50" max="50" width="11" bestFit="1" customWidth="1"/>
    <col min="51" max="51" width="10" bestFit="1" customWidth="1"/>
    <col min="52" max="52" width="9.33203125" bestFit="1" customWidth="1"/>
    <col min="53" max="53" width="13.1640625" bestFit="1" customWidth="1"/>
    <col min="54" max="55" width="9" bestFit="1" customWidth="1"/>
    <col min="56" max="56" width="6.5" bestFit="1" customWidth="1"/>
    <col min="57" max="58" width="4.1640625" bestFit="1" customWidth="1"/>
    <col min="59" max="59" width="9" bestFit="1" customWidth="1"/>
    <col min="60" max="60" width="9.33203125" bestFit="1" customWidth="1"/>
    <col min="61" max="61" width="11.5" bestFit="1" customWidth="1"/>
    <col min="62" max="62" width="6.83203125" bestFit="1" customWidth="1"/>
    <col min="63" max="63" width="9" bestFit="1" customWidth="1"/>
    <col min="64" max="64" width="9.33203125" bestFit="1" customWidth="1"/>
    <col min="65" max="65" width="6.83203125" bestFit="1" customWidth="1"/>
    <col min="66" max="66" width="3.83203125" bestFit="1" customWidth="1"/>
    <col min="67" max="67" width="9" bestFit="1" customWidth="1"/>
    <col min="68" max="68" width="6.5" bestFit="1" customWidth="1"/>
    <col min="69" max="69" width="9" bestFit="1" customWidth="1"/>
    <col min="70" max="70" width="9.33203125" bestFit="1" customWidth="1"/>
    <col min="71" max="71" width="6.83203125" bestFit="1" customWidth="1"/>
    <col min="72" max="72" width="9" bestFit="1" customWidth="1"/>
    <col min="73" max="73" width="6.5" bestFit="1" customWidth="1"/>
    <col min="74" max="74" width="4.1640625" bestFit="1" customWidth="1"/>
    <col min="75" max="75" width="4" bestFit="1" customWidth="1"/>
    <col min="76" max="76" width="9" bestFit="1" customWidth="1"/>
    <col min="77" max="77" width="6.5" bestFit="1" customWidth="1"/>
    <col min="78" max="78" width="4.1640625" bestFit="1" customWidth="1"/>
    <col min="79" max="79" width="9" bestFit="1" customWidth="1"/>
    <col min="80" max="80" width="9.33203125" bestFit="1" customWidth="1"/>
    <col min="81" max="81" width="6.83203125" bestFit="1" customWidth="1"/>
    <col min="82" max="82" width="9" bestFit="1" customWidth="1"/>
    <col min="83" max="83" width="9.33203125" bestFit="1" customWidth="1"/>
    <col min="84" max="84" width="9.1640625" bestFit="1" customWidth="1"/>
    <col min="85" max="85" width="8.5" bestFit="1" customWidth="1"/>
    <col min="86" max="86" width="9" bestFit="1" customWidth="1"/>
    <col min="87" max="87" width="9.33203125" bestFit="1" customWidth="1"/>
    <col min="88" max="88" width="6.83203125" bestFit="1" customWidth="1"/>
    <col min="89" max="90" width="4.1640625" bestFit="1" customWidth="1"/>
    <col min="91" max="91" width="9" bestFit="1" customWidth="1"/>
    <col min="92" max="92" width="9.33203125" bestFit="1" customWidth="1"/>
    <col min="93" max="93" width="11" bestFit="1" customWidth="1"/>
    <col min="94" max="94" width="10" bestFit="1" customWidth="1"/>
    <col min="175" max="176" width="12" bestFit="1" customWidth="1"/>
    <col min="247" max="247" width="14.5" bestFit="1" customWidth="1"/>
    <col min="248" max="248" width="14" bestFit="1" customWidth="1"/>
    <col min="399" max="399" width="16.6640625" bestFit="1" customWidth="1"/>
    <col min="504" max="504" width="13.1640625" bestFit="1" customWidth="1"/>
    <col min="653" max="653" width="11.5" bestFit="1" customWidth="1"/>
    <col min="833" max="833" width="9.1640625" bestFit="1" customWidth="1"/>
    <col min="854" max="854" width="11" bestFit="1" customWidth="1"/>
    <col min="855" max="855" width="10" bestFit="1" customWidth="1"/>
  </cols>
  <sheetData>
    <row r="3" spans="1:11">
      <c r="A3" s="18" t="s">
        <v>1073</v>
      </c>
      <c r="C3" s="18" t="s">
        <v>3</v>
      </c>
    </row>
    <row r="4" spans="1:11">
      <c r="A4" s="18" t="s">
        <v>1091</v>
      </c>
      <c r="B4" s="18" t="s">
        <v>1092</v>
      </c>
      <c r="C4" t="s">
        <v>507</v>
      </c>
      <c r="D4" t="s">
        <v>508</v>
      </c>
      <c r="E4" t="s">
        <v>514</v>
      </c>
      <c r="F4" t="s">
        <v>512</v>
      </c>
      <c r="G4" t="s">
        <v>510</v>
      </c>
      <c r="H4" t="s">
        <v>511</v>
      </c>
      <c r="I4" t="s">
        <v>482</v>
      </c>
      <c r="J4" t="s">
        <v>509</v>
      </c>
      <c r="K4" t="s">
        <v>1046</v>
      </c>
    </row>
    <row r="5" spans="1:11">
      <c r="A5" t="s">
        <v>1064</v>
      </c>
      <c r="B5" t="s">
        <v>1074</v>
      </c>
      <c r="C5" s="30">
        <v>12</v>
      </c>
      <c r="D5" s="30"/>
      <c r="E5" s="30"/>
      <c r="F5" s="30"/>
      <c r="G5" s="30"/>
      <c r="H5" s="30"/>
      <c r="I5" s="30"/>
      <c r="J5" s="30"/>
      <c r="K5" s="30">
        <v>12</v>
      </c>
    </row>
    <row r="6" spans="1:11">
      <c r="B6" t="s">
        <v>1077</v>
      </c>
      <c r="C6" s="30">
        <v>8</v>
      </c>
      <c r="D6" s="30"/>
      <c r="E6" s="30"/>
      <c r="F6" s="30"/>
      <c r="G6" s="30"/>
      <c r="H6" s="30"/>
      <c r="I6" s="30"/>
      <c r="J6" s="30"/>
      <c r="K6" s="30">
        <v>8</v>
      </c>
    </row>
    <row r="7" spans="1:11">
      <c r="B7" t="s">
        <v>1081</v>
      </c>
      <c r="C7" s="30">
        <v>3</v>
      </c>
      <c r="D7" s="30"/>
      <c r="E7" s="30"/>
      <c r="F7" s="30"/>
      <c r="G7" s="30"/>
      <c r="H7" s="30"/>
      <c r="I7" s="30"/>
      <c r="J7" s="30"/>
      <c r="K7" s="30">
        <v>3</v>
      </c>
    </row>
    <row r="8" spans="1:11">
      <c r="B8" t="s">
        <v>1082</v>
      </c>
      <c r="C8" s="30"/>
      <c r="D8" s="30"/>
      <c r="E8" s="30"/>
      <c r="F8" s="30"/>
      <c r="G8" s="30"/>
      <c r="H8" s="30"/>
      <c r="I8" s="30">
        <v>6</v>
      </c>
      <c r="J8" s="30"/>
      <c r="K8" s="30">
        <v>6</v>
      </c>
    </row>
    <row r="9" spans="1:11">
      <c r="A9" t="s">
        <v>1093</v>
      </c>
      <c r="C9" s="30">
        <v>23</v>
      </c>
      <c r="D9" s="30"/>
      <c r="E9" s="30"/>
      <c r="F9" s="30"/>
      <c r="G9" s="30"/>
      <c r="H9" s="30"/>
      <c r="I9" s="30">
        <v>6</v>
      </c>
      <c r="J9" s="30"/>
      <c r="K9" s="30">
        <v>29</v>
      </c>
    </row>
    <row r="10" spans="1:11">
      <c r="A10" t="s">
        <v>1067</v>
      </c>
      <c r="B10" t="s">
        <v>1077</v>
      </c>
      <c r="C10" s="30"/>
      <c r="D10" s="30"/>
      <c r="E10" s="30"/>
      <c r="F10" s="30"/>
      <c r="G10" s="30"/>
      <c r="H10" s="30"/>
      <c r="I10" s="30">
        <v>6</v>
      </c>
      <c r="J10" s="30"/>
      <c r="K10" s="30">
        <v>6</v>
      </c>
    </row>
    <row r="11" spans="1:11">
      <c r="B11" t="s">
        <v>1078</v>
      </c>
      <c r="C11" s="30"/>
      <c r="D11" s="30"/>
      <c r="E11" s="30"/>
      <c r="F11" s="30"/>
      <c r="G11" s="30"/>
      <c r="H11" s="30"/>
      <c r="I11" s="30">
        <v>17</v>
      </c>
      <c r="J11" s="30"/>
      <c r="K11" s="30">
        <v>17</v>
      </c>
    </row>
    <row r="12" spans="1:11">
      <c r="B12" t="s">
        <v>1083</v>
      </c>
      <c r="C12" s="30"/>
      <c r="D12" s="30"/>
      <c r="E12" s="30"/>
      <c r="F12" s="30"/>
      <c r="G12" s="30"/>
      <c r="H12" s="30"/>
      <c r="I12" s="30">
        <v>15</v>
      </c>
      <c r="J12" s="30"/>
      <c r="K12" s="30">
        <v>15</v>
      </c>
    </row>
    <row r="13" spans="1:11">
      <c r="A13" t="s">
        <v>1094</v>
      </c>
      <c r="C13" s="30"/>
      <c r="D13" s="30"/>
      <c r="E13" s="30"/>
      <c r="F13" s="30"/>
      <c r="G13" s="30"/>
      <c r="H13" s="30"/>
      <c r="I13" s="30">
        <v>38</v>
      </c>
      <c r="J13" s="30"/>
      <c r="K13" s="30">
        <v>38</v>
      </c>
    </row>
    <row r="14" spans="1:11">
      <c r="A14" t="s">
        <v>1066</v>
      </c>
      <c r="B14" t="s">
        <v>1078</v>
      </c>
      <c r="C14" s="30"/>
      <c r="D14" s="30"/>
      <c r="E14" s="30"/>
      <c r="F14" s="30"/>
      <c r="G14" s="30"/>
      <c r="H14" s="30"/>
      <c r="I14" s="30">
        <v>15</v>
      </c>
      <c r="J14" s="30"/>
      <c r="K14" s="30">
        <v>15</v>
      </c>
    </row>
    <row r="15" spans="1:11">
      <c r="B15" t="s">
        <v>1079</v>
      </c>
      <c r="C15" s="30"/>
      <c r="D15" s="30"/>
      <c r="E15" s="30"/>
      <c r="F15" s="30"/>
      <c r="G15" s="30"/>
      <c r="H15" s="30"/>
      <c r="I15" s="30">
        <v>27</v>
      </c>
      <c r="J15" s="30"/>
      <c r="K15" s="30">
        <v>27</v>
      </c>
    </row>
    <row r="16" spans="1:11">
      <c r="B16" t="s">
        <v>1080</v>
      </c>
      <c r="C16" s="30"/>
      <c r="D16" s="30"/>
      <c r="E16" s="30"/>
      <c r="F16" s="30"/>
      <c r="G16" s="30"/>
      <c r="H16" s="30"/>
      <c r="I16" s="30">
        <v>31</v>
      </c>
      <c r="J16" s="30"/>
      <c r="K16" s="30">
        <v>31</v>
      </c>
    </row>
    <row r="17" spans="1:11">
      <c r="B17" t="s">
        <v>1081</v>
      </c>
      <c r="C17" s="30"/>
      <c r="D17" s="30"/>
      <c r="E17" s="30"/>
      <c r="F17" s="30"/>
      <c r="G17" s="30"/>
      <c r="H17" s="30"/>
      <c r="I17" s="30">
        <v>30</v>
      </c>
      <c r="J17" s="30"/>
      <c r="K17" s="30">
        <v>30</v>
      </c>
    </row>
    <row r="18" spans="1:11">
      <c r="B18" t="s">
        <v>1082</v>
      </c>
      <c r="C18" s="30"/>
      <c r="D18" s="30"/>
      <c r="E18" s="30"/>
      <c r="F18" s="30"/>
      <c r="G18" s="30"/>
      <c r="H18" s="30"/>
      <c r="I18" s="30">
        <v>29</v>
      </c>
      <c r="J18" s="30"/>
      <c r="K18" s="30">
        <v>29</v>
      </c>
    </row>
    <row r="19" spans="1:11">
      <c r="B19" t="s">
        <v>1083</v>
      </c>
      <c r="C19" s="30"/>
      <c r="D19" s="30">
        <v>22</v>
      </c>
      <c r="E19" s="30"/>
      <c r="F19" s="30"/>
      <c r="G19" s="30"/>
      <c r="H19" s="30"/>
      <c r="I19" s="30">
        <v>7</v>
      </c>
      <c r="J19" s="30"/>
      <c r="K19" s="30">
        <v>29</v>
      </c>
    </row>
    <row r="20" spans="1:11">
      <c r="A20" t="s">
        <v>1095</v>
      </c>
      <c r="C20" s="30"/>
      <c r="D20" s="30">
        <v>22</v>
      </c>
      <c r="E20" s="30"/>
      <c r="F20" s="30"/>
      <c r="G20" s="30"/>
      <c r="H20" s="30"/>
      <c r="I20" s="30">
        <v>139</v>
      </c>
      <c r="J20" s="30"/>
      <c r="K20" s="30">
        <v>161</v>
      </c>
    </row>
    <row r="21" spans="1:11">
      <c r="A21" t="s">
        <v>1065</v>
      </c>
      <c r="B21" t="s">
        <v>1075</v>
      </c>
      <c r="C21" s="30"/>
      <c r="D21" s="30">
        <v>2</v>
      </c>
      <c r="E21" s="30"/>
      <c r="F21" s="30"/>
      <c r="G21" s="30"/>
      <c r="H21" s="30"/>
      <c r="I21" s="30"/>
      <c r="J21" s="30"/>
      <c r="K21" s="30">
        <v>2</v>
      </c>
    </row>
    <row r="22" spans="1:11">
      <c r="B22" t="s">
        <v>1076</v>
      </c>
      <c r="C22" s="30">
        <v>2</v>
      </c>
      <c r="D22" s="30">
        <v>29</v>
      </c>
      <c r="E22" s="30"/>
      <c r="F22" s="30"/>
      <c r="G22" s="30"/>
      <c r="H22" s="30"/>
      <c r="I22" s="30">
        <v>2</v>
      </c>
      <c r="J22" s="30"/>
      <c r="K22" s="30">
        <v>33</v>
      </c>
    </row>
    <row r="23" spans="1:11">
      <c r="B23" t="s">
        <v>1077</v>
      </c>
      <c r="C23" s="30"/>
      <c r="D23" s="30">
        <v>29</v>
      </c>
      <c r="E23" s="30"/>
      <c r="F23" s="30"/>
      <c r="G23" s="30"/>
      <c r="H23" s="30"/>
      <c r="I23" s="30"/>
      <c r="J23" s="30"/>
      <c r="K23" s="30">
        <v>29</v>
      </c>
    </row>
    <row r="24" spans="1:11">
      <c r="B24" t="s">
        <v>1078</v>
      </c>
      <c r="C24" s="30"/>
      <c r="D24" s="30">
        <v>32</v>
      </c>
      <c r="E24" s="30"/>
      <c r="F24" s="30"/>
      <c r="G24" s="30"/>
      <c r="H24" s="30"/>
      <c r="I24" s="30"/>
      <c r="J24" s="30"/>
      <c r="K24" s="30">
        <v>32</v>
      </c>
    </row>
    <row r="25" spans="1:11">
      <c r="B25" t="s">
        <v>1079</v>
      </c>
      <c r="C25" s="30"/>
      <c r="D25" s="30">
        <v>15</v>
      </c>
      <c r="E25" s="30"/>
      <c r="F25" s="30"/>
      <c r="G25" s="30"/>
      <c r="H25" s="30"/>
      <c r="I25" s="30"/>
      <c r="J25" s="30">
        <v>2</v>
      </c>
      <c r="K25" s="30">
        <v>17</v>
      </c>
    </row>
    <row r="26" spans="1:11">
      <c r="A26" t="s">
        <v>1096</v>
      </c>
      <c r="C26" s="30">
        <v>2</v>
      </c>
      <c r="D26" s="30">
        <v>107</v>
      </c>
      <c r="E26" s="30"/>
      <c r="F26" s="30"/>
      <c r="G26" s="30"/>
      <c r="H26" s="30"/>
      <c r="I26" s="30">
        <v>2</v>
      </c>
      <c r="J26" s="30">
        <v>2</v>
      </c>
      <c r="K26" s="30">
        <v>113</v>
      </c>
    </row>
    <row r="27" spans="1:11">
      <c r="A27" t="s">
        <v>1063</v>
      </c>
      <c r="B27" t="s">
        <v>1081</v>
      </c>
      <c r="C27" s="30"/>
      <c r="D27" s="30"/>
      <c r="E27" s="30"/>
      <c r="F27" s="30"/>
      <c r="G27" s="30">
        <v>1</v>
      </c>
      <c r="H27" s="30">
        <v>2</v>
      </c>
      <c r="I27" s="30"/>
      <c r="J27" s="30"/>
      <c r="K27" s="30">
        <v>3</v>
      </c>
    </row>
    <row r="28" spans="1:11">
      <c r="B28" t="s">
        <v>1082</v>
      </c>
      <c r="C28" s="30"/>
      <c r="D28" s="30"/>
      <c r="E28" s="30"/>
      <c r="F28" s="30">
        <v>10</v>
      </c>
      <c r="G28" s="30">
        <v>8</v>
      </c>
      <c r="H28" s="30">
        <v>30</v>
      </c>
      <c r="I28" s="30"/>
      <c r="J28" s="30">
        <v>1</v>
      </c>
      <c r="K28" s="30">
        <v>49</v>
      </c>
    </row>
    <row r="29" spans="1:11">
      <c r="B29" t="s">
        <v>1083</v>
      </c>
      <c r="C29" s="30"/>
      <c r="D29" s="30"/>
      <c r="E29" s="30">
        <v>8</v>
      </c>
      <c r="F29" s="30">
        <v>32</v>
      </c>
      <c r="G29" s="30">
        <v>56</v>
      </c>
      <c r="H29" s="30">
        <v>54</v>
      </c>
      <c r="I29" s="30"/>
      <c r="J29" s="30">
        <v>7</v>
      </c>
      <c r="K29" s="30">
        <v>157</v>
      </c>
    </row>
    <row r="30" spans="1:11">
      <c r="B30" t="s">
        <v>1084</v>
      </c>
      <c r="C30" s="30"/>
      <c r="D30" s="30"/>
      <c r="E30" s="30">
        <v>31</v>
      </c>
      <c r="F30" s="30">
        <v>38</v>
      </c>
      <c r="G30" s="30">
        <v>40</v>
      </c>
      <c r="H30" s="30">
        <v>62</v>
      </c>
      <c r="I30" s="30"/>
      <c r="J30" s="30">
        <v>11</v>
      </c>
      <c r="K30" s="30">
        <v>182</v>
      </c>
    </row>
    <row r="31" spans="1:11">
      <c r="A31" t="s">
        <v>1097</v>
      </c>
      <c r="C31" s="30"/>
      <c r="D31" s="30"/>
      <c r="E31" s="30">
        <v>39</v>
      </c>
      <c r="F31" s="30">
        <v>80</v>
      </c>
      <c r="G31" s="30">
        <v>105</v>
      </c>
      <c r="H31" s="30">
        <v>148</v>
      </c>
      <c r="I31" s="30"/>
      <c r="J31" s="30">
        <v>19</v>
      </c>
      <c r="K31" s="30">
        <v>391</v>
      </c>
    </row>
    <row r="32" spans="1:11">
      <c r="A32" t="s">
        <v>1046</v>
      </c>
      <c r="C32" s="30">
        <v>25</v>
      </c>
      <c r="D32" s="30">
        <v>129</v>
      </c>
      <c r="E32" s="30">
        <v>39</v>
      </c>
      <c r="F32" s="30">
        <v>80</v>
      </c>
      <c r="G32" s="30">
        <v>105</v>
      </c>
      <c r="H32" s="30">
        <v>148</v>
      </c>
      <c r="I32" s="30">
        <v>185</v>
      </c>
      <c r="J32" s="30">
        <v>21</v>
      </c>
      <c r="K32" s="30">
        <v>732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AF83E-435F-6C40-8C49-5DCD93D502B6}">
  <dimension ref="A3:G24"/>
  <sheetViews>
    <sheetView topLeftCell="A2" zoomScaleNormal="100" workbookViewId="0">
      <selection activeCell="W37" sqref="W37"/>
    </sheetView>
  </sheetViews>
  <sheetFormatPr baseColWidth="10" defaultRowHeight="15"/>
  <cols>
    <col min="1" max="1" width="24.1640625" bestFit="1" customWidth="1"/>
    <col min="2" max="2" width="19" bestFit="1" customWidth="1"/>
    <col min="3" max="4" width="25.6640625" bestFit="1" customWidth="1"/>
    <col min="5" max="618" width="23.83203125" bestFit="1" customWidth="1"/>
    <col min="619" max="619" width="21.83203125" bestFit="1" customWidth="1"/>
    <col min="620" max="620" width="28.1640625" bestFit="1" customWidth="1"/>
    <col min="621" max="621" width="26.33203125" bestFit="1" customWidth="1"/>
    <col min="622" max="622" width="4.5" bestFit="1" customWidth="1"/>
    <col min="623" max="624" width="8.6640625" bestFit="1" customWidth="1"/>
    <col min="625" max="625" width="4.5" bestFit="1" customWidth="1"/>
    <col min="626" max="626" width="7.6640625" bestFit="1" customWidth="1"/>
    <col min="627" max="627" width="8.6640625" bestFit="1" customWidth="1"/>
    <col min="628" max="628" width="4.5" bestFit="1" customWidth="1"/>
    <col min="629" max="629" width="7.6640625" bestFit="1" customWidth="1"/>
    <col min="630" max="630" width="8.6640625" bestFit="1" customWidth="1"/>
    <col min="631" max="631" width="4.5" bestFit="1" customWidth="1"/>
    <col min="632" max="632" width="7.6640625" bestFit="1" customWidth="1"/>
    <col min="633" max="633" width="8.6640625" bestFit="1" customWidth="1"/>
    <col min="634" max="634" width="4.5" bestFit="1" customWidth="1"/>
    <col min="635" max="635" width="8.6640625" bestFit="1" customWidth="1"/>
    <col min="636" max="636" width="4.5" bestFit="1" customWidth="1"/>
    <col min="637" max="638" width="8.6640625" bestFit="1" customWidth="1"/>
    <col min="639" max="639" width="4.5" bestFit="1" customWidth="1"/>
    <col min="640" max="641" width="8.6640625" bestFit="1" customWidth="1"/>
    <col min="642" max="642" width="4.5" bestFit="1" customWidth="1"/>
    <col min="643" max="644" width="8.6640625" bestFit="1" customWidth="1"/>
    <col min="645" max="645" width="4.5" bestFit="1" customWidth="1"/>
    <col min="646" max="647" width="8.6640625" bestFit="1" customWidth="1"/>
    <col min="648" max="648" width="4.5" bestFit="1" customWidth="1"/>
    <col min="649" max="650" width="8.6640625" bestFit="1" customWidth="1"/>
    <col min="651" max="651" width="4.5" bestFit="1" customWidth="1"/>
    <col min="652" max="653" width="8.6640625" bestFit="1" customWidth="1"/>
    <col min="654" max="654" width="4.5" bestFit="1" customWidth="1"/>
    <col min="655" max="656" width="8.6640625" bestFit="1" customWidth="1"/>
    <col min="657" max="657" width="4.5" bestFit="1" customWidth="1"/>
    <col min="658" max="659" width="8.6640625" bestFit="1" customWidth="1"/>
    <col min="660" max="660" width="4.5" bestFit="1" customWidth="1"/>
    <col min="661" max="662" width="8.6640625" bestFit="1" customWidth="1"/>
    <col min="663" max="663" width="4.5" bestFit="1" customWidth="1"/>
    <col min="664" max="665" width="8.6640625" bestFit="1" customWidth="1"/>
    <col min="666" max="666" width="10" bestFit="1" customWidth="1"/>
  </cols>
  <sheetData>
    <row r="3" spans="1:7">
      <c r="A3" s="18" t="s">
        <v>1047</v>
      </c>
      <c r="B3" t="s">
        <v>1100</v>
      </c>
      <c r="D3" s="17" t="str">
        <f>A3</f>
        <v>Row Labels</v>
      </c>
      <c r="E3" s="17" t="str">
        <f>B3</f>
        <v>Visitor to product page</v>
      </c>
      <c r="F3" s="17" t="s">
        <v>1089</v>
      </c>
      <c r="G3" t="s">
        <v>1090</v>
      </c>
    </row>
    <row r="4" spans="1:7">
      <c r="A4" s="19" t="s">
        <v>967</v>
      </c>
      <c r="B4" s="17">
        <v>0.50942381121742808</v>
      </c>
      <c r="D4" s="17" t="str">
        <f t="shared" ref="D4:D24" si="0">A4</f>
        <v>365 email</v>
      </c>
      <c r="E4" s="17">
        <f t="shared" ref="E4:E24" si="1">B4</f>
        <v>0.50942381121742808</v>
      </c>
      <c r="F4" s="17" t="e">
        <f>IF(E4=MAX($E$4:$E$24),E4,NA())</f>
        <v>#N/A</v>
      </c>
      <c r="G4" s="17" t="e">
        <f>IF(E4=_xlfn.MINIFS($E$4:$E$24,$E$4:$E$24,"&lt;&gt;0"),E4,NA())</f>
        <v>#N/A</v>
      </c>
    </row>
    <row r="5" spans="1:7">
      <c r="A5" s="19" t="s">
        <v>1059</v>
      </c>
      <c r="B5" s="17">
        <v>0.34622540427300386</v>
      </c>
      <c r="D5" s="17" t="str">
        <f t="shared" si="0"/>
        <v>Abandoned cart</v>
      </c>
      <c r="E5" s="17">
        <f t="shared" si="1"/>
        <v>0.34622540427300386</v>
      </c>
      <c r="F5" s="17" t="e">
        <f t="shared" ref="F5:F24" si="2">IF(E5=MAX($E$4:$E$24),E5,NA())</f>
        <v>#N/A</v>
      </c>
      <c r="G5" s="17" t="e">
        <f t="shared" ref="G5:G24" si="3">IF(E5=_xlfn.MINIFS($E$4:$E$24,$E$4:$E$24,"&lt;&gt;0"),E5,NA())</f>
        <v>#N/A</v>
      </c>
    </row>
    <row r="6" spans="1:7">
      <c r="A6" s="19" t="s">
        <v>1049</v>
      </c>
      <c r="B6" s="17">
        <v>0.43766802728932896</v>
      </c>
      <c r="D6" s="17" t="str">
        <f t="shared" si="0"/>
        <v>Conversion</v>
      </c>
      <c r="E6" s="17">
        <f t="shared" si="1"/>
        <v>0.43766802728932896</v>
      </c>
      <c r="F6" s="17" t="e">
        <f t="shared" si="2"/>
        <v>#N/A</v>
      </c>
      <c r="G6" s="17" t="e">
        <f t="shared" si="3"/>
        <v>#N/A</v>
      </c>
    </row>
    <row r="7" spans="1:7">
      <c r="A7" s="19" t="s">
        <v>1060</v>
      </c>
      <c r="B7" s="17">
        <v>0.15625</v>
      </c>
      <c r="D7" s="17" t="str">
        <f t="shared" si="0"/>
        <v>credit vouchers</v>
      </c>
      <c r="E7" s="17">
        <f t="shared" si="1"/>
        <v>0.15625</v>
      </c>
      <c r="F7" s="17" t="e">
        <f t="shared" si="2"/>
        <v>#N/A</v>
      </c>
      <c r="G7" s="17" t="e">
        <f t="shared" si="3"/>
        <v>#N/A</v>
      </c>
    </row>
    <row r="8" spans="1:7">
      <c r="A8" s="19" t="s">
        <v>966</v>
      </c>
      <c r="B8" s="17">
        <v>0.4342223713167877</v>
      </c>
      <c r="D8" s="17" t="str">
        <f t="shared" si="0"/>
        <v>email</v>
      </c>
      <c r="E8" s="17">
        <f t="shared" si="1"/>
        <v>0.4342223713167877</v>
      </c>
      <c r="F8" s="17" t="e">
        <f t="shared" si="2"/>
        <v>#N/A</v>
      </c>
      <c r="G8" s="17" t="e">
        <f t="shared" si="3"/>
        <v>#N/A</v>
      </c>
    </row>
    <row r="9" spans="1:7">
      <c r="A9" s="19" t="s">
        <v>1056</v>
      </c>
      <c r="B9" s="17">
        <v>0.43965124474465572</v>
      </c>
      <c r="D9" s="17" t="str">
        <f t="shared" si="0"/>
        <v>Excom Email</v>
      </c>
      <c r="E9" s="17">
        <f t="shared" si="1"/>
        <v>0.43965124474465572</v>
      </c>
      <c r="F9" s="17" t="e">
        <f t="shared" si="2"/>
        <v>#N/A</v>
      </c>
      <c r="G9" s="17" t="e">
        <f t="shared" si="3"/>
        <v>#N/A</v>
      </c>
    </row>
    <row r="10" spans="1:7">
      <c r="A10" s="19" t="s">
        <v>1055</v>
      </c>
      <c r="B10" s="17">
        <v>0.39360798722474455</v>
      </c>
      <c r="D10" s="17" t="str">
        <f t="shared" si="0"/>
        <v>Exprom Email</v>
      </c>
      <c r="E10" s="17">
        <f t="shared" si="1"/>
        <v>0.39360798722474455</v>
      </c>
      <c r="F10" s="17" t="e">
        <f t="shared" si="2"/>
        <v>#N/A</v>
      </c>
      <c r="G10" s="17" t="e">
        <f t="shared" si="3"/>
        <v>#N/A</v>
      </c>
    </row>
    <row r="11" spans="1:7">
      <c r="A11" s="19" t="s">
        <v>1053</v>
      </c>
      <c r="B11" s="17">
        <v>0.41648479891667928</v>
      </c>
      <c r="D11" s="17" t="str">
        <f t="shared" si="0"/>
        <v>Exprom Sponsor Acquisition</v>
      </c>
      <c r="E11" s="17">
        <f t="shared" si="1"/>
        <v>0.41648479891667928</v>
      </c>
      <c r="F11" s="17" t="e">
        <f t="shared" si="2"/>
        <v>#N/A</v>
      </c>
      <c r="G11" s="17" t="e">
        <f t="shared" si="3"/>
        <v>#N/A</v>
      </c>
    </row>
    <row r="12" spans="1:7">
      <c r="A12" s="19" t="s">
        <v>1052</v>
      </c>
      <c r="B12" s="17">
        <v>0.32423390380386991</v>
      </c>
      <c r="D12" s="17" t="str">
        <f t="shared" si="0"/>
        <v>Newsletter</v>
      </c>
      <c r="E12" s="17">
        <f t="shared" si="1"/>
        <v>0.32423390380386991</v>
      </c>
      <c r="F12" s="17" t="e">
        <f t="shared" si="2"/>
        <v>#N/A</v>
      </c>
      <c r="G12" s="17" t="e">
        <f t="shared" si="3"/>
        <v>#N/A</v>
      </c>
    </row>
    <row r="13" spans="1:7">
      <c r="A13" s="19" t="s">
        <v>1050</v>
      </c>
      <c r="B13" s="17">
        <v>0.35971082107332863</v>
      </c>
      <c r="D13" s="17" t="str">
        <f t="shared" si="0"/>
        <v>Non-member comms</v>
      </c>
      <c r="E13" s="17">
        <f t="shared" si="1"/>
        <v>0.35971082107332863</v>
      </c>
      <c r="F13" s="17" t="e">
        <f t="shared" si="2"/>
        <v>#N/A</v>
      </c>
      <c r="G13" s="17" t="e">
        <f t="shared" si="3"/>
        <v>#N/A</v>
      </c>
    </row>
    <row r="14" spans="1:7">
      <c r="A14" s="19" t="s">
        <v>697</v>
      </c>
      <c r="B14" s="17">
        <v>0.78854075722918848</v>
      </c>
      <c r="D14" s="17" t="str">
        <f t="shared" si="0"/>
        <v>Operational Comms</v>
      </c>
      <c r="E14" s="17">
        <f t="shared" si="1"/>
        <v>0.78854075722918848</v>
      </c>
      <c r="F14" s="17">
        <f t="shared" si="2"/>
        <v>0.78854075722918848</v>
      </c>
      <c r="G14" s="17" t="e">
        <f t="shared" si="3"/>
        <v>#N/A</v>
      </c>
    </row>
    <row r="15" spans="1:7">
      <c r="A15" s="19" t="s">
        <v>962</v>
      </c>
      <c r="B15" s="17">
        <v>8.2589285714285712E-2</v>
      </c>
      <c r="D15" s="17" t="str">
        <f t="shared" si="0"/>
        <v>Speaker Presentations</v>
      </c>
      <c r="E15" s="17">
        <f t="shared" si="1"/>
        <v>8.2589285714285712E-2</v>
      </c>
      <c r="F15" s="17" t="e">
        <f t="shared" si="2"/>
        <v>#N/A</v>
      </c>
      <c r="G15" s="17">
        <f t="shared" si="3"/>
        <v>8.2589285714285712E-2</v>
      </c>
    </row>
    <row r="16" spans="1:7">
      <c r="A16" s="19" t="s">
        <v>1061</v>
      </c>
      <c r="B16" s="17">
        <v>0.25757575757575757</v>
      </c>
      <c r="D16" s="17" t="str">
        <f t="shared" si="0"/>
        <v>Speakers</v>
      </c>
      <c r="E16" s="17">
        <f t="shared" si="1"/>
        <v>0.25757575757575757</v>
      </c>
      <c r="F16" s="17" t="e">
        <f t="shared" si="2"/>
        <v>#N/A</v>
      </c>
      <c r="G16" s="17" t="e">
        <f t="shared" si="3"/>
        <v>#N/A</v>
      </c>
    </row>
    <row r="17" spans="1:7">
      <c r="A17" s="19" t="s">
        <v>964</v>
      </c>
      <c r="B17" s="17">
        <v>0.45218468226209479</v>
      </c>
      <c r="D17" s="17" t="str">
        <f t="shared" si="0"/>
        <v>spex</v>
      </c>
      <c r="E17" s="17">
        <f t="shared" si="1"/>
        <v>0.45218468226209479</v>
      </c>
      <c r="F17" s="17" t="e">
        <f t="shared" si="2"/>
        <v>#N/A</v>
      </c>
      <c r="G17" s="17" t="e">
        <f t="shared" si="3"/>
        <v>#N/A</v>
      </c>
    </row>
    <row r="18" spans="1:7">
      <c r="A18" s="19" t="s">
        <v>1057</v>
      </c>
      <c r="B18" s="17">
        <v>0.16144639674051439</v>
      </c>
      <c r="D18" s="17" t="str">
        <f t="shared" si="0"/>
        <v>Visprom Conversion Email</v>
      </c>
      <c r="E18" s="17">
        <f t="shared" si="1"/>
        <v>0.16144639674051439</v>
      </c>
      <c r="F18" s="17" t="e">
        <f t="shared" si="2"/>
        <v>#N/A</v>
      </c>
      <c r="G18" s="17" t="e">
        <f t="shared" si="3"/>
        <v>#N/A</v>
      </c>
    </row>
    <row r="19" spans="1:7">
      <c r="A19" s="19" t="s">
        <v>1058</v>
      </c>
      <c r="B19" s="17">
        <v>0.40098902979292039</v>
      </c>
      <c r="D19" s="17" t="str">
        <f t="shared" si="0"/>
        <v>Visprom Email</v>
      </c>
      <c r="E19" s="17">
        <f t="shared" si="1"/>
        <v>0.40098902979292039</v>
      </c>
      <c r="F19" s="17" t="e">
        <f t="shared" si="2"/>
        <v>#N/A</v>
      </c>
      <c r="G19" s="17" t="e">
        <f t="shared" si="3"/>
        <v>#N/A</v>
      </c>
    </row>
    <row r="20" spans="1:7">
      <c r="A20" s="19" t="s">
        <v>1051</v>
      </c>
      <c r="B20" s="17">
        <v>0.30948191221438487</v>
      </c>
      <c r="D20" s="17" t="str">
        <f t="shared" si="0"/>
        <v>Visprom Registration DS Email</v>
      </c>
      <c r="E20" s="17">
        <f t="shared" si="1"/>
        <v>0.30948191221438487</v>
      </c>
      <c r="F20" s="17" t="e">
        <f t="shared" si="2"/>
        <v>#N/A</v>
      </c>
      <c r="G20" s="17" t="e">
        <f t="shared" si="3"/>
        <v>#N/A</v>
      </c>
    </row>
    <row r="21" spans="1:7">
      <c r="A21" s="19" t="s">
        <v>1054</v>
      </c>
      <c r="B21" s="17">
        <v>0.36425606752008827</v>
      </c>
      <c r="D21" s="17" t="str">
        <f t="shared" si="0"/>
        <v>Visprom Registration Email</v>
      </c>
      <c r="E21" s="17">
        <f t="shared" si="1"/>
        <v>0.36425606752008827</v>
      </c>
      <c r="F21" s="17" t="e">
        <f t="shared" si="2"/>
        <v>#N/A</v>
      </c>
      <c r="G21" s="17" t="e">
        <f t="shared" si="3"/>
        <v>#N/A</v>
      </c>
    </row>
    <row r="22" spans="1:7">
      <c r="A22" s="19" t="s">
        <v>1048</v>
      </c>
      <c r="B22" s="17">
        <v>0.35909631391200952</v>
      </c>
      <c r="D22" s="17" t="str">
        <f t="shared" si="0"/>
        <v>Visprom Registration Webinar</v>
      </c>
      <c r="E22" s="17">
        <f t="shared" si="1"/>
        <v>0.35909631391200952</v>
      </c>
      <c r="F22" s="17" t="e">
        <f t="shared" si="2"/>
        <v>#N/A</v>
      </c>
      <c r="G22" s="17" t="e">
        <f t="shared" si="3"/>
        <v>#N/A</v>
      </c>
    </row>
    <row r="23" spans="1:7">
      <c r="A23" s="19" t="s">
        <v>963</v>
      </c>
      <c r="B23" s="17">
        <v>0.39908578494241764</v>
      </c>
      <c r="D23" s="17" t="str">
        <f t="shared" si="0"/>
        <v>WebinarEmails</v>
      </c>
      <c r="E23" s="17">
        <f t="shared" si="1"/>
        <v>0.39908578494241764</v>
      </c>
      <c r="F23" s="17" t="e">
        <f t="shared" si="2"/>
        <v>#N/A</v>
      </c>
      <c r="G23" s="17" t="e">
        <f t="shared" si="3"/>
        <v>#N/A</v>
      </c>
    </row>
    <row r="24" spans="1:7">
      <c r="A24" s="19" t="s">
        <v>965</v>
      </c>
      <c r="B24" s="17">
        <v>0.38877365610123382</v>
      </c>
      <c r="D24" s="17" t="str">
        <f t="shared" si="0"/>
        <v>webinars</v>
      </c>
      <c r="E24" s="17">
        <f t="shared" si="1"/>
        <v>0.38877365610123382</v>
      </c>
      <c r="F24" s="17" t="e">
        <f t="shared" si="2"/>
        <v>#N/A</v>
      </c>
      <c r="G24" s="17" t="e">
        <f t="shared" si="3"/>
        <v>#N/A</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0DB16-3CAE-4146-8E69-9CA6F220CAE5}">
  <dimension ref="A3:E25"/>
  <sheetViews>
    <sheetView workbookViewId="0">
      <selection activeCell="C3" sqref="C3"/>
    </sheetView>
  </sheetViews>
  <sheetFormatPr baseColWidth="10" defaultRowHeight="15"/>
  <cols>
    <col min="1" max="1" width="25.83203125" bestFit="1" customWidth="1"/>
    <col min="2" max="2" width="13.1640625" bestFit="1" customWidth="1"/>
    <col min="3" max="3" width="12.6640625" bestFit="1" customWidth="1"/>
    <col min="4" max="4" width="22" bestFit="1" customWidth="1"/>
    <col min="5" max="5" width="17.33203125" bestFit="1" customWidth="1"/>
    <col min="6" max="6" width="18.6640625" bestFit="1" customWidth="1"/>
    <col min="7" max="7" width="21.1640625" bestFit="1" customWidth="1"/>
    <col min="8" max="8" width="12" bestFit="1" customWidth="1"/>
    <col min="9" max="9" width="16.6640625" bestFit="1" customWidth="1"/>
    <col min="10" max="10" width="61.83203125" bestFit="1" customWidth="1"/>
    <col min="11" max="11" width="34.33203125" bestFit="1" customWidth="1"/>
    <col min="12" max="12" width="75.5" bestFit="1" customWidth="1"/>
    <col min="13" max="13" width="45" bestFit="1" customWidth="1"/>
    <col min="14" max="14" width="96.6640625" bestFit="1" customWidth="1"/>
    <col min="15" max="15" width="87" bestFit="1" customWidth="1"/>
    <col min="16" max="16" width="84.6640625" bestFit="1" customWidth="1"/>
    <col min="17" max="17" width="50.33203125" bestFit="1" customWidth="1"/>
    <col min="18" max="18" width="26.1640625" bestFit="1" customWidth="1"/>
    <col min="19" max="19" width="23.33203125" bestFit="1" customWidth="1"/>
    <col min="20" max="20" width="17.33203125" bestFit="1" customWidth="1"/>
    <col min="21" max="21" width="60.33203125" bestFit="1" customWidth="1"/>
    <col min="22" max="22" width="33.83203125" bestFit="1" customWidth="1"/>
    <col min="23" max="23" width="45.6640625" bestFit="1" customWidth="1"/>
    <col min="24" max="24" width="40.83203125" bestFit="1" customWidth="1"/>
    <col min="25" max="25" width="26.33203125" bestFit="1" customWidth="1"/>
    <col min="26" max="26" width="40.1640625" bestFit="1" customWidth="1"/>
    <col min="27" max="27" width="40.6640625" bestFit="1" customWidth="1"/>
    <col min="28" max="28" width="45.5" bestFit="1" customWidth="1"/>
    <col min="29" max="29" width="14.33203125" bestFit="1" customWidth="1"/>
    <col min="30" max="30" width="21.6640625" bestFit="1" customWidth="1"/>
    <col min="31" max="31" width="23.6640625" bestFit="1" customWidth="1"/>
    <col min="32" max="32" width="43.33203125" bestFit="1" customWidth="1"/>
    <col min="33" max="33" width="34.1640625" bestFit="1" customWidth="1"/>
    <col min="34" max="34" width="61.6640625" bestFit="1" customWidth="1"/>
    <col min="35" max="35" width="37.6640625" bestFit="1" customWidth="1"/>
    <col min="36" max="36" width="43.1640625" bestFit="1" customWidth="1"/>
    <col min="37" max="37" width="31" bestFit="1" customWidth="1"/>
    <col min="38" max="38" width="41.83203125" bestFit="1" customWidth="1"/>
    <col min="39" max="39" width="24.5" bestFit="1" customWidth="1"/>
    <col min="40" max="40" width="41.6640625" bestFit="1" customWidth="1"/>
    <col min="41" max="41" width="33" bestFit="1" customWidth="1"/>
    <col min="42" max="42" width="42.1640625" bestFit="1" customWidth="1"/>
    <col min="43" max="43" width="16.83203125" bestFit="1" customWidth="1"/>
    <col min="44" max="44" width="39.5" bestFit="1" customWidth="1"/>
    <col min="45" max="45" width="57.1640625" bestFit="1" customWidth="1"/>
    <col min="46" max="46" width="89.5" bestFit="1" customWidth="1"/>
    <col min="47" max="47" width="73.83203125" bestFit="1" customWidth="1"/>
    <col min="48" max="48" width="50.6640625" bestFit="1" customWidth="1"/>
    <col min="49" max="49" width="74.1640625" bestFit="1" customWidth="1"/>
    <col min="50" max="50" width="93.33203125" bestFit="1" customWidth="1"/>
    <col min="51" max="51" width="39.33203125" bestFit="1" customWidth="1"/>
    <col min="52" max="52" width="27.6640625" bestFit="1" customWidth="1"/>
    <col min="53" max="53" width="16" bestFit="1" customWidth="1"/>
    <col min="54" max="54" width="21.5" bestFit="1" customWidth="1"/>
    <col min="55" max="55" width="21.1640625" bestFit="1" customWidth="1"/>
    <col min="56" max="56" width="26.6640625" bestFit="1" customWidth="1"/>
    <col min="57" max="57" width="14.1640625" bestFit="1" customWidth="1"/>
    <col min="58" max="58" width="79.83203125" bestFit="1" customWidth="1"/>
    <col min="59" max="59" width="20" bestFit="1" customWidth="1"/>
    <col min="60" max="60" width="63" bestFit="1" customWidth="1"/>
    <col min="61" max="61" width="53.6640625" bestFit="1" customWidth="1"/>
    <col min="62" max="62" width="16" bestFit="1" customWidth="1"/>
    <col min="63" max="63" width="24.5" bestFit="1" customWidth="1"/>
    <col min="64" max="64" width="40.5" bestFit="1" customWidth="1"/>
    <col min="65" max="65" width="71.1640625" bestFit="1" customWidth="1"/>
    <col min="66" max="66" width="66" bestFit="1" customWidth="1"/>
    <col min="67" max="67" width="11" bestFit="1" customWidth="1"/>
    <col min="68" max="68" width="24" bestFit="1" customWidth="1"/>
    <col min="69" max="69" width="45.83203125" bestFit="1" customWidth="1"/>
    <col min="70" max="70" width="40.33203125" bestFit="1" customWidth="1"/>
    <col min="71" max="71" width="19.1640625" bestFit="1" customWidth="1"/>
    <col min="72" max="72" width="43.33203125" bestFit="1" customWidth="1"/>
    <col min="73" max="73" width="34.6640625" bestFit="1" customWidth="1"/>
    <col min="74" max="74" width="33.1640625" bestFit="1" customWidth="1"/>
    <col min="75" max="75" width="15.6640625" bestFit="1" customWidth="1"/>
    <col min="76" max="76" width="26" bestFit="1" customWidth="1"/>
    <col min="77" max="77" width="40.6640625" bestFit="1" customWidth="1"/>
    <col min="78" max="78" width="19.1640625" bestFit="1" customWidth="1"/>
    <col min="79" max="79" width="27" bestFit="1" customWidth="1"/>
    <col min="80" max="80" width="106.83203125" bestFit="1" customWidth="1"/>
    <col min="81" max="81" width="64" bestFit="1" customWidth="1"/>
    <col min="82" max="82" width="85.83203125" bestFit="1" customWidth="1"/>
    <col min="83" max="83" width="74" bestFit="1" customWidth="1"/>
    <col min="84" max="84" width="83.6640625" bestFit="1" customWidth="1"/>
    <col min="85" max="85" width="13.33203125" bestFit="1" customWidth="1"/>
    <col min="86" max="86" width="41.6640625" bestFit="1" customWidth="1"/>
    <col min="87" max="87" width="50.6640625" bestFit="1" customWidth="1"/>
    <col min="88" max="88" width="54.33203125" bestFit="1" customWidth="1"/>
    <col min="89" max="89" width="99" bestFit="1" customWidth="1"/>
    <col min="90" max="90" width="54.83203125" bestFit="1" customWidth="1"/>
    <col min="91" max="91" width="41" bestFit="1" customWidth="1"/>
    <col min="92" max="92" width="58.83203125" bestFit="1" customWidth="1"/>
    <col min="93" max="93" width="53.83203125" bestFit="1" customWidth="1"/>
    <col min="94" max="94" width="24.6640625" bestFit="1" customWidth="1"/>
    <col min="95" max="95" width="50" bestFit="1" customWidth="1"/>
    <col min="96" max="96" width="67.6640625" bestFit="1" customWidth="1"/>
    <col min="97" max="97" width="32.33203125" bestFit="1" customWidth="1"/>
    <col min="98" max="98" width="43.83203125" bestFit="1" customWidth="1"/>
    <col min="99" max="99" width="13.5" bestFit="1" customWidth="1"/>
    <col min="100" max="100" width="21.1640625" bestFit="1" customWidth="1"/>
    <col min="101" max="101" width="49.83203125" bestFit="1" customWidth="1"/>
    <col min="102" max="102" width="51.5" bestFit="1" customWidth="1"/>
    <col min="103" max="103" width="50.33203125" bestFit="1" customWidth="1"/>
    <col min="104" max="104" width="48.6640625" bestFit="1" customWidth="1"/>
    <col min="105" max="105" width="21.1640625" bestFit="1" customWidth="1"/>
    <col min="106" max="106" width="35.33203125" bestFit="1" customWidth="1"/>
    <col min="107" max="107" width="62.5" bestFit="1" customWidth="1"/>
    <col min="108" max="108" width="27" bestFit="1" customWidth="1"/>
    <col min="109" max="109" width="25.1640625" bestFit="1" customWidth="1"/>
    <col min="110" max="110" width="11" bestFit="1" customWidth="1"/>
    <col min="111" max="111" width="43.1640625" bestFit="1" customWidth="1"/>
    <col min="112" max="112" width="23" bestFit="1" customWidth="1"/>
    <col min="113" max="113" width="46.33203125" bestFit="1" customWidth="1"/>
    <col min="114" max="114" width="13" bestFit="1" customWidth="1"/>
    <col min="115" max="115" width="12.5" bestFit="1" customWidth="1"/>
    <col min="116" max="116" width="53" bestFit="1" customWidth="1"/>
    <col min="117" max="117" width="16.33203125" bestFit="1" customWidth="1"/>
    <col min="118" max="118" width="34.1640625" bestFit="1" customWidth="1"/>
    <col min="119" max="119" width="25.1640625" bestFit="1" customWidth="1"/>
    <col min="120" max="120" width="14.83203125" bestFit="1" customWidth="1"/>
    <col min="121" max="121" width="42.1640625" bestFit="1" customWidth="1"/>
    <col min="122" max="122" width="65.6640625" bestFit="1" customWidth="1"/>
    <col min="123" max="123" width="29" bestFit="1" customWidth="1"/>
    <col min="124" max="124" width="24" bestFit="1" customWidth="1"/>
    <col min="125" max="125" width="40.33203125" bestFit="1" customWidth="1"/>
    <col min="126" max="126" width="29.83203125" bestFit="1" customWidth="1"/>
    <col min="127" max="127" width="20.33203125" bestFit="1" customWidth="1"/>
    <col min="128" max="128" width="12.5" bestFit="1" customWidth="1"/>
    <col min="129" max="129" width="30.83203125" bestFit="1" customWidth="1"/>
    <col min="130" max="130" width="39.33203125" bestFit="1" customWidth="1"/>
    <col min="131" max="131" width="63.1640625" bestFit="1" customWidth="1"/>
    <col min="132" max="132" width="29.33203125" bestFit="1" customWidth="1"/>
    <col min="133" max="133" width="67.1640625" bestFit="1" customWidth="1"/>
    <col min="134" max="134" width="24.33203125" bestFit="1" customWidth="1"/>
    <col min="135" max="135" width="28" bestFit="1" customWidth="1"/>
    <col min="136" max="136" width="16" bestFit="1" customWidth="1"/>
    <col min="137" max="137" width="63.83203125" bestFit="1" customWidth="1"/>
    <col min="138" max="138" width="30.6640625" bestFit="1" customWidth="1"/>
    <col min="139" max="139" width="38.83203125" bestFit="1" customWidth="1"/>
    <col min="140" max="140" width="36.33203125" bestFit="1" customWidth="1"/>
    <col min="141" max="141" width="30.33203125" bestFit="1" customWidth="1"/>
    <col min="142" max="142" width="121.83203125" bestFit="1" customWidth="1"/>
    <col min="143" max="143" width="40.6640625" bestFit="1" customWidth="1"/>
    <col min="144" max="144" width="45.1640625" bestFit="1" customWidth="1"/>
    <col min="145" max="145" width="23.1640625" bestFit="1" customWidth="1"/>
    <col min="146" max="146" width="14" bestFit="1" customWidth="1"/>
    <col min="147" max="147" width="28.5" bestFit="1" customWidth="1"/>
    <col min="148" max="148" width="29.1640625" bestFit="1" customWidth="1"/>
    <col min="149" max="149" width="40.5" bestFit="1" customWidth="1"/>
    <col min="150" max="150" width="25.5" bestFit="1" customWidth="1"/>
    <col min="151" max="151" width="21" bestFit="1" customWidth="1"/>
    <col min="152" max="152" width="22.33203125" bestFit="1" customWidth="1"/>
    <col min="153" max="153" width="36.1640625" bestFit="1" customWidth="1"/>
    <col min="154" max="154" width="36.6640625" bestFit="1" customWidth="1"/>
    <col min="155" max="155" width="76.6640625" bestFit="1" customWidth="1"/>
    <col min="156" max="156" width="16.5" bestFit="1" customWidth="1"/>
    <col min="157" max="157" width="35.6640625" bestFit="1" customWidth="1"/>
    <col min="158" max="158" width="20" bestFit="1" customWidth="1"/>
    <col min="159" max="159" width="17.1640625" bestFit="1" customWidth="1"/>
    <col min="160" max="160" width="68.33203125" bestFit="1" customWidth="1"/>
    <col min="161" max="161" width="29.5" bestFit="1" customWidth="1"/>
    <col min="162" max="162" width="76" bestFit="1" customWidth="1"/>
    <col min="163" max="163" width="31.5" bestFit="1" customWidth="1"/>
    <col min="164" max="164" width="62.1640625" bestFit="1" customWidth="1"/>
    <col min="165" max="165" width="29.1640625" bestFit="1" customWidth="1"/>
    <col min="166" max="166" width="60.6640625" bestFit="1" customWidth="1"/>
    <col min="167" max="167" width="43.6640625" bestFit="1" customWidth="1"/>
    <col min="168" max="168" width="32" bestFit="1" customWidth="1"/>
    <col min="169" max="169" width="22" bestFit="1" customWidth="1"/>
    <col min="170" max="170" width="46.6640625" bestFit="1" customWidth="1"/>
    <col min="171" max="171" width="23.6640625" bestFit="1" customWidth="1"/>
    <col min="172" max="172" width="33.33203125" bestFit="1" customWidth="1"/>
    <col min="173" max="173" width="66.6640625" bestFit="1" customWidth="1"/>
    <col min="174" max="174" width="25.5" bestFit="1" customWidth="1"/>
    <col min="175" max="175" width="17.33203125" bestFit="1" customWidth="1"/>
    <col min="176" max="176" width="41.6640625" bestFit="1" customWidth="1"/>
    <col min="177" max="177" width="44.83203125" bestFit="1" customWidth="1"/>
    <col min="178" max="178" width="36.33203125" bestFit="1" customWidth="1"/>
    <col min="179" max="179" width="18.33203125" bestFit="1" customWidth="1"/>
    <col min="180" max="180" width="73.33203125" bestFit="1" customWidth="1"/>
    <col min="181" max="181" width="30.5" bestFit="1" customWidth="1"/>
    <col min="182" max="182" width="43.83203125" bestFit="1" customWidth="1"/>
    <col min="183" max="183" width="42.33203125" bestFit="1" customWidth="1"/>
    <col min="184" max="184" width="20.83203125" bestFit="1" customWidth="1"/>
    <col min="185" max="185" width="25.1640625" bestFit="1" customWidth="1"/>
    <col min="186" max="186" width="51.6640625" bestFit="1" customWidth="1"/>
    <col min="187" max="187" width="27.6640625" bestFit="1" customWidth="1"/>
    <col min="188" max="188" width="39.83203125" bestFit="1" customWidth="1"/>
    <col min="189" max="189" width="44.1640625" bestFit="1" customWidth="1"/>
    <col min="190" max="190" width="76" bestFit="1" customWidth="1"/>
    <col min="191" max="191" width="64.5" bestFit="1" customWidth="1"/>
    <col min="192" max="192" width="40.6640625" bestFit="1" customWidth="1"/>
    <col min="193" max="193" width="83" bestFit="1" customWidth="1"/>
    <col min="194" max="194" width="52.1640625" bestFit="1" customWidth="1"/>
    <col min="195" max="195" width="40.6640625" bestFit="1" customWidth="1"/>
    <col min="196" max="196" width="78.83203125" bestFit="1" customWidth="1"/>
    <col min="197" max="197" width="61.83203125" bestFit="1" customWidth="1"/>
    <col min="198" max="198" width="34.33203125" bestFit="1" customWidth="1"/>
    <col min="199" max="199" width="75.5" bestFit="1" customWidth="1"/>
    <col min="200" max="200" width="45" bestFit="1" customWidth="1"/>
    <col min="201" max="201" width="96.6640625" bestFit="1" customWidth="1"/>
    <col min="202" max="202" width="87" bestFit="1" customWidth="1"/>
    <col min="203" max="203" width="84.6640625" bestFit="1" customWidth="1"/>
    <col min="204" max="204" width="50.33203125" bestFit="1" customWidth="1"/>
    <col min="205" max="205" width="26.1640625" bestFit="1" customWidth="1"/>
    <col min="206" max="206" width="23.33203125" bestFit="1" customWidth="1"/>
    <col min="207" max="207" width="17.33203125" bestFit="1" customWidth="1"/>
    <col min="208" max="208" width="60.33203125" bestFit="1" customWidth="1"/>
    <col min="209" max="209" width="33.83203125" bestFit="1" customWidth="1"/>
    <col min="210" max="210" width="45.6640625" bestFit="1" customWidth="1"/>
    <col min="211" max="211" width="40.83203125" bestFit="1" customWidth="1"/>
    <col min="212" max="212" width="26.33203125" bestFit="1" customWidth="1"/>
    <col min="213" max="213" width="40.1640625" bestFit="1" customWidth="1"/>
    <col min="214" max="214" width="40.6640625" bestFit="1" customWidth="1"/>
    <col min="215" max="215" width="45.5" bestFit="1" customWidth="1"/>
    <col min="216" max="216" width="14.33203125" bestFit="1" customWidth="1"/>
    <col min="217" max="217" width="21.6640625" bestFit="1" customWidth="1"/>
    <col min="218" max="218" width="23.6640625" bestFit="1" customWidth="1"/>
    <col min="219" max="219" width="43.33203125" bestFit="1" customWidth="1"/>
    <col min="220" max="220" width="34.1640625" bestFit="1" customWidth="1"/>
    <col min="221" max="221" width="61.6640625" bestFit="1" customWidth="1"/>
    <col min="222" max="222" width="37.6640625" bestFit="1" customWidth="1"/>
    <col min="223" max="223" width="43.1640625" bestFit="1" customWidth="1"/>
    <col min="224" max="224" width="31" bestFit="1" customWidth="1"/>
    <col min="225" max="225" width="41.83203125" bestFit="1" customWidth="1"/>
    <col min="226" max="226" width="24.5" bestFit="1" customWidth="1"/>
    <col min="227" max="227" width="41.6640625" bestFit="1" customWidth="1"/>
    <col min="228" max="228" width="33" bestFit="1" customWidth="1"/>
    <col min="229" max="229" width="42.1640625" bestFit="1" customWidth="1"/>
    <col min="230" max="230" width="16.83203125" bestFit="1" customWidth="1"/>
    <col min="231" max="231" width="39.5" bestFit="1" customWidth="1"/>
    <col min="232" max="232" width="57.1640625" bestFit="1" customWidth="1"/>
    <col min="233" max="233" width="89.5" bestFit="1" customWidth="1"/>
    <col min="234" max="234" width="73.83203125" bestFit="1" customWidth="1"/>
    <col min="235" max="235" width="50.6640625" bestFit="1" customWidth="1"/>
    <col min="236" max="236" width="74.1640625" bestFit="1" customWidth="1"/>
    <col min="237" max="237" width="93.33203125" bestFit="1" customWidth="1"/>
    <col min="238" max="238" width="39.33203125" bestFit="1" customWidth="1"/>
    <col min="239" max="239" width="27.6640625" bestFit="1" customWidth="1"/>
    <col min="240" max="240" width="16" bestFit="1" customWidth="1"/>
    <col min="241" max="241" width="21.5" bestFit="1" customWidth="1"/>
    <col min="242" max="242" width="21.1640625" bestFit="1" customWidth="1"/>
    <col min="243" max="243" width="26.6640625" bestFit="1" customWidth="1"/>
    <col min="244" max="244" width="14.1640625" bestFit="1" customWidth="1"/>
    <col min="245" max="245" width="79.83203125" bestFit="1" customWidth="1"/>
    <col min="246" max="246" width="20" bestFit="1" customWidth="1"/>
    <col min="247" max="247" width="63" bestFit="1" customWidth="1"/>
    <col min="248" max="248" width="53.6640625" bestFit="1" customWidth="1"/>
    <col min="249" max="249" width="16" bestFit="1" customWidth="1"/>
    <col min="250" max="250" width="24.5" bestFit="1" customWidth="1"/>
    <col min="251" max="251" width="40.5" bestFit="1" customWidth="1"/>
    <col min="252" max="252" width="71.1640625" bestFit="1" customWidth="1"/>
    <col min="253" max="253" width="66" bestFit="1" customWidth="1"/>
    <col min="254" max="254" width="11" bestFit="1" customWidth="1"/>
    <col min="255" max="255" width="24" bestFit="1" customWidth="1"/>
    <col min="256" max="256" width="45.83203125" bestFit="1" customWidth="1"/>
    <col min="257" max="257" width="40.33203125" bestFit="1" customWidth="1"/>
    <col min="258" max="258" width="19.1640625" bestFit="1" customWidth="1"/>
    <col min="259" max="259" width="43.33203125" bestFit="1" customWidth="1"/>
    <col min="260" max="260" width="34.6640625" bestFit="1" customWidth="1"/>
    <col min="261" max="261" width="33.1640625" bestFit="1" customWidth="1"/>
    <col min="262" max="262" width="15.6640625" bestFit="1" customWidth="1"/>
    <col min="263" max="263" width="26" bestFit="1" customWidth="1"/>
    <col min="264" max="264" width="40.6640625" bestFit="1" customWidth="1"/>
    <col min="265" max="265" width="19.1640625" bestFit="1" customWidth="1"/>
    <col min="266" max="266" width="27" bestFit="1" customWidth="1"/>
    <col min="267" max="267" width="106.83203125" bestFit="1" customWidth="1"/>
    <col min="268" max="268" width="64" bestFit="1" customWidth="1"/>
    <col min="269" max="269" width="85.83203125" bestFit="1" customWidth="1"/>
    <col min="270" max="270" width="74" bestFit="1" customWidth="1"/>
    <col min="271" max="271" width="83.6640625" bestFit="1" customWidth="1"/>
    <col min="272" max="272" width="13.33203125" bestFit="1" customWidth="1"/>
    <col min="273" max="273" width="41.6640625" bestFit="1" customWidth="1"/>
    <col min="274" max="274" width="50.6640625" bestFit="1" customWidth="1"/>
    <col min="275" max="275" width="54.33203125" bestFit="1" customWidth="1"/>
    <col min="276" max="276" width="99" bestFit="1" customWidth="1"/>
    <col min="277" max="277" width="54.83203125" bestFit="1" customWidth="1"/>
    <col min="278" max="278" width="41" bestFit="1" customWidth="1"/>
    <col min="279" max="279" width="58.83203125" bestFit="1" customWidth="1"/>
    <col min="280" max="280" width="53.83203125" bestFit="1" customWidth="1"/>
    <col min="281" max="281" width="24.6640625" bestFit="1" customWidth="1"/>
    <col min="282" max="282" width="50" bestFit="1" customWidth="1"/>
    <col min="283" max="283" width="67.6640625" bestFit="1" customWidth="1"/>
    <col min="284" max="284" width="32.33203125" bestFit="1" customWidth="1"/>
    <col min="285" max="285" width="43.83203125" bestFit="1" customWidth="1"/>
    <col min="286" max="286" width="13.5" bestFit="1" customWidth="1"/>
    <col min="287" max="287" width="21.1640625" bestFit="1" customWidth="1"/>
    <col min="288" max="288" width="49.83203125" bestFit="1" customWidth="1"/>
    <col min="289" max="289" width="51.5" bestFit="1" customWidth="1"/>
    <col min="290" max="290" width="50.33203125" bestFit="1" customWidth="1"/>
    <col min="291" max="291" width="48.6640625" bestFit="1" customWidth="1"/>
    <col min="292" max="292" width="21.1640625" bestFit="1" customWidth="1"/>
    <col min="293" max="293" width="35.33203125" bestFit="1" customWidth="1"/>
    <col min="294" max="294" width="62.5" bestFit="1" customWidth="1"/>
    <col min="295" max="295" width="27" bestFit="1" customWidth="1"/>
    <col min="296" max="296" width="25.1640625" bestFit="1" customWidth="1"/>
    <col min="297" max="297" width="11" bestFit="1" customWidth="1"/>
    <col min="298" max="298" width="43.1640625" bestFit="1" customWidth="1"/>
    <col min="299" max="299" width="23" bestFit="1" customWidth="1"/>
    <col min="300" max="300" width="46.33203125" bestFit="1" customWidth="1"/>
    <col min="301" max="301" width="13" bestFit="1" customWidth="1"/>
    <col min="302" max="302" width="12.5" bestFit="1" customWidth="1"/>
    <col min="303" max="303" width="53" bestFit="1" customWidth="1"/>
    <col min="304" max="304" width="16.33203125" bestFit="1" customWidth="1"/>
    <col min="305" max="305" width="34.1640625" bestFit="1" customWidth="1"/>
    <col min="306" max="306" width="25.1640625" bestFit="1" customWidth="1"/>
    <col min="307" max="307" width="14.83203125" bestFit="1" customWidth="1"/>
    <col min="308" max="308" width="42.1640625" bestFit="1" customWidth="1"/>
    <col min="309" max="309" width="65.6640625" bestFit="1" customWidth="1"/>
    <col min="310" max="310" width="29" bestFit="1" customWidth="1"/>
    <col min="311" max="311" width="24" bestFit="1" customWidth="1"/>
    <col min="312" max="312" width="40.33203125" bestFit="1" customWidth="1"/>
    <col min="313" max="313" width="29.83203125" bestFit="1" customWidth="1"/>
    <col min="314" max="314" width="20.33203125" bestFit="1" customWidth="1"/>
    <col min="315" max="315" width="12.5" bestFit="1" customWidth="1"/>
    <col min="316" max="316" width="30.83203125" bestFit="1" customWidth="1"/>
    <col min="317" max="317" width="39.33203125" bestFit="1" customWidth="1"/>
    <col min="318" max="318" width="63.1640625" bestFit="1" customWidth="1"/>
    <col min="319" max="319" width="29.33203125" bestFit="1" customWidth="1"/>
    <col min="320" max="320" width="67.1640625" bestFit="1" customWidth="1"/>
    <col min="321" max="321" width="24.33203125" bestFit="1" customWidth="1"/>
    <col min="322" max="322" width="28" bestFit="1" customWidth="1"/>
    <col min="323" max="323" width="16" bestFit="1" customWidth="1"/>
    <col min="324" max="324" width="63.83203125" bestFit="1" customWidth="1"/>
    <col min="325" max="325" width="30.6640625" bestFit="1" customWidth="1"/>
    <col min="326" max="326" width="38.83203125" bestFit="1" customWidth="1"/>
    <col min="327" max="327" width="36.33203125" bestFit="1" customWidth="1"/>
    <col min="328" max="328" width="30.33203125" bestFit="1" customWidth="1"/>
    <col min="329" max="329" width="121.83203125" bestFit="1" customWidth="1"/>
    <col min="330" max="330" width="40.6640625" bestFit="1" customWidth="1"/>
    <col min="331" max="331" width="45.1640625" bestFit="1" customWidth="1"/>
    <col min="332" max="332" width="23.1640625" bestFit="1" customWidth="1"/>
    <col min="333" max="333" width="14" bestFit="1" customWidth="1"/>
    <col min="334" max="334" width="28.5" bestFit="1" customWidth="1"/>
    <col min="335" max="335" width="29.1640625" bestFit="1" customWidth="1"/>
    <col min="336" max="336" width="40.5" bestFit="1" customWidth="1"/>
    <col min="337" max="337" width="25.5" bestFit="1" customWidth="1"/>
    <col min="338" max="338" width="21" bestFit="1" customWidth="1"/>
    <col min="339" max="339" width="22.33203125" bestFit="1" customWidth="1"/>
    <col min="340" max="340" width="36.1640625" bestFit="1" customWidth="1"/>
    <col min="341" max="341" width="36.6640625" bestFit="1" customWidth="1"/>
    <col min="342" max="342" width="76.6640625" bestFit="1" customWidth="1"/>
    <col min="343" max="343" width="16.5" bestFit="1" customWidth="1"/>
    <col min="344" max="344" width="35.6640625" bestFit="1" customWidth="1"/>
    <col min="345" max="345" width="20" bestFit="1" customWidth="1"/>
    <col min="346" max="346" width="17.1640625" bestFit="1" customWidth="1"/>
    <col min="347" max="347" width="68.33203125" bestFit="1" customWidth="1"/>
    <col min="348" max="348" width="29.5" bestFit="1" customWidth="1"/>
    <col min="349" max="349" width="76" bestFit="1" customWidth="1"/>
    <col min="350" max="350" width="31.5" bestFit="1" customWidth="1"/>
    <col min="351" max="351" width="62.1640625" bestFit="1" customWidth="1"/>
    <col min="352" max="352" width="29.1640625" bestFit="1" customWidth="1"/>
    <col min="353" max="353" width="60.6640625" bestFit="1" customWidth="1"/>
    <col min="354" max="354" width="43.6640625" bestFit="1" customWidth="1"/>
    <col min="355" max="355" width="32" bestFit="1" customWidth="1"/>
    <col min="356" max="356" width="22" bestFit="1" customWidth="1"/>
    <col min="357" max="357" width="46.6640625" bestFit="1" customWidth="1"/>
    <col min="358" max="358" width="23.6640625" bestFit="1" customWidth="1"/>
    <col min="359" max="359" width="33.33203125" bestFit="1" customWidth="1"/>
    <col min="360" max="360" width="66.6640625" bestFit="1" customWidth="1"/>
    <col min="361" max="361" width="25.5" bestFit="1" customWidth="1"/>
    <col min="362" max="362" width="17.33203125" bestFit="1" customWidth="1"/>
    <col min="363" max="363" width="41.6640625" bestFit="1" customWidth="1"/>
    <col min="364" max="364" width="44.83203125" bestFit="1" customWidth="1"/>
    <col min="365" max="365" width="36.33203125" bestFit="1" customWidth="1"/>
    <col min="366" max="366" width="18.33203125" bestFit="1" customWidth="1"/>
    <col min="367" max="367" width="73.33203125" bestFit="1" customWidth="1"/>
    <col min="368" max="368" width="30.5" bestFit="1" customWidth="1"/>
    <col min="369" max="369" width="43.83203125" bestFit="1" customWidth="1"/>
    <col min="370" max="370" width="42.33203125" bestFit="1" customWidth="1"/>
    <col min="371" max="371" width="20.83203125" bestFit="1" customWidth="1"/>
    <col min="372" max="372" width="25.1640625" bestFit="1" customWidth="1"/>
    <col min="373" max="373" width="51.6640625" bestFit="1" customWidth="1"/>
    <col min="374" max="374" width="27.6640625" bestFit="1" customWidth="1"/>
    <col min="375" max="375" width="39.83203125" bestFit="1" customWidth="1"/>
    <col min="376" max="376" width="44.1640625" bestFit="1" customWidth="1"/>
    <col min="377" max="377" width="76" bestFit="1" customWidth="1"/>
    <col min="378" max="378" width="64.5" bestFit="1" customWidth="1"/>
    <col min="379" max="379" width="40.6640625" bestFit="1" customWidth="1"/>
    <col min="380" max="380" width="83" bestFit="1" customWidth="1"/>
    <col min="381" max="381" width="52.1640625" bestFit="1" customWidth="1"/>
    <col min="382" max="382" width="40.6640625" bestFit="1" customWidth="1"/>
    <col min="383" max="383" width="78.83203125" bestFit="1" customWidth="1"/>
    <col min="384" max="384" width="61.83203125" bestFit="1" customWidth="1"/>
    <col min="385" max="385" width="34.33203125" bestFit="1" customWidth="1"/>
    <col min="386" max="386" width="75.5" bestFit="1" customWidth="1"/>
    <col min="387" max="387" width="45" bestFit="1" customWidth="1"/>
    <col min="388" max="388" width="96.6640625" bestFit="1" customWidth="1"/>
    <col min="389" max="389" width="87" bestFit="1" customWidth="1"/>
    <col min="390" max="390" width="84.6640625" bestFit="1" customWidth="1"/>
    <col min="391" max="391" width="50.33203125" bestFit="1" customWidth="1"/>
    <col min="392" max="392" width="26.1640625" bestFit="1" customWidth="1"/>
    <col min="393" max="393" width="23.33203125" bestFit="1" customWidth="1"/>
    <col min="394" max="394" width="17.33203125" bestFit="1" customWidth="1"/>
    <col min="395" max="395" width="60.33203125" bestFit="1" customWidth="1"/>
    <col min="396" max="396" width="33.83203125" bestFit="1" customWidth="1"/>
    <col min="397" max="397" width="45.6640625" bestFit="1" customWidth="1"/>
    <col min="398" max="398" width="40.83203125" bestFit="1" customWidth="1"/>
    <col min="399" max="399" width="26.33203125" bestFit="1" customWidth="1"/>
    <col min="400" max="400" width="40.1640625" bestFit="1" customWidth="1"/>
    <col min="401" max="401" width="40.6640625" bestFit="1" customWidth="1"/>
    <col min="402" max="402" width="45.5" bestFit="1" customWidth="1"/>
    <col min="403" max="403" width="14.33203125" bestFit="1" customWidth="1"/>
    <col min="404" max="404" width="21.6640625" bestFit="1" customWidth="1"/>
    <col min="405" max="405" width="23.6640625" bestFit="1" customWidth="1"/>
    <col min="406" max="406" width="43.33203125" bestFit="1" customWidth="1"/>
    <col min="407" max="407" width="34.1640625" bestFit="1" customWidth="1"/>
    <col min="408" max="408" width="61.6640625" bestFit="1" customWidth="1"/>
    <col min="409" max="409" width="37.6640625" bestFit="1" customWidth="1"/>
    <col min="410" max="410" width="43.1640625" bestFit="1" customWidth="1"/>
    <col min="411" max="411" width="31" bestFit="1" customWidth="1"/>
    <col min="412" max="412" width="41.83203125" bestFit="1" customWidth="1"/>
    <col min="413" max="413" width="24.5" bestFit="1" customWidth="1"/>
    <col min="414" max="414" width="41.6640625" bestFit="1" customWidth="1"/>
    <col min="415" max="415" width="33" bestFit="1" customWidth="1"/>
    <col min="416" max="416" width="42.1640625" bestFit="1" customWidth="1"/>
    <col min="417" max="417" width="16.83203125" bestFit="1" customWidth="1"/>
    <col min="418" max="418" width="39.5" bestFit="1" customWidth="1"/>
    <col min="419" max="419" width="57.1640625" bestFit="1" customWidth="1"/>
    <col min="420" max="420" width="89.5" bestFit="1" customWidth="1"/>
    <col min="421" max="421" width="73.83203125" bestFit="1" customWidth="1"/>
    <col min="422" max="422" width="50.6640625" bestFit="1" customWidth="1"/>
    <col min="423" max="423" width="74.1640625" bestFit="1" customWidth="1"/>
    <col min="424" max="424" width="93.33203125" bestFit="1" customWidth="1"/>
    <col min="425" max="425" width="39.33203125" bestFit="1" customWidth="1"/>
    <col min="426" max="426" width="27.6640625" bestFit="1" customWidth="1"/>
    <col min="427" max="427" width="16" bestFit="1" customWidth="1"/>
    <col min="428" max="428" width="21.5" bestFit="1" customWidth="1"/>
    <col min="429" max="429" width="21.1640625" bestFit="1" customWidth="1"/>
    <col min="430" max="430" width="26.6640625" bestFit="1" customWidth="1"/>
    <col min="431" max="431" width="14.1640625" bestFit="1" customWidth="1"/>
    <col min="432" max="432" width="79.83203125" bestFit="1" customWidth="1"/>
    <col min="433" max="433" width="20" bestFit="1" customWidth="1"/>
    <col min="434" max="434" width="63" bestFit="1" customWidth="1"/>
    <col min="435" max="435" width="53.6640625" bestFit="1" customWidth="1"/>
    <col min="436" max="436" width="16" bestFit="1" customWidth="1"/>
    <col min="437" max="437" width="24.5" bestFit="1" customWidth="1"/>
    <col min="438" max="438" width="40.5" bestFit="1" customWidth="1"/>
    <col min="439" max="439" width="71.1640625" bestFit="1" customWidth="1"/>
    <col min="440" max="440" width="66" bestFit="1" customWidth="1"/>
    <col min="441" max="441" width="11" bestFit="1" customWidth="1"/>
    <col min="442" max="442" width="24" bestFit="1" customWidth="1"/>
    <col min="443" max="443" width="45.83203125" bestFit="1" customWidth="1"/>
    <col min="444" max="444" width="40.33203125" bestFit="1" customWidth="1"/>
    <col min="445" max="445" width="19.1640625" bestFit="1" customWidth="1"/>
    <col min="446" max="446" width="43.33203125" bestFit="1" customWidth="1"/>
    <col min="447" max="447" width="34.6640625" bestFit="1" customWidth="1"/>
    <col min="448" max="448" width="33.1640625" bestFit="1" customWidth="1"/>
    <col min="449" max="449" width="15.6640625" bestFit="1" customWidth="1"/>
    <col min="450" max="450" width="26" bestFit="1" customWidth="1"/>
    <col min="451" max="451" width="40.6640625" bestFit="1" customWidth="1"/>
    <col min="452" max="452" width="19.1640625" bestFit="1" customWidth="1"/>
    <col min="453" max="453" width="27" bestFit="1" customWidth="1"/>
    <col min="454" max="454" width="106.83203125" bestFit="1" customWidth="1"/>
    <col min="455" max="455" width="64" bestFit="1" customWidth="1"/>
    <col min="456" max="456" width="85.83203125" bestFit="1" customWidth="1"/>
    <col min="457" max="457" width="74" bestFit="1" customWidth="1"/>
    <col min="458" max="458" width="83.6640625" bestFit="1" customWidth="1"/>
    <col min="459" max="459" width="13.33203125" bestFit="1" customWidth="1"/>
    <col min="460" max="460" width="41.6640625" bestFit="1" customWidth="1"/>
    <col min="461" max="461" width="50.6640625" bestFit="1" customWidth="1"/>
    <col min="462" max="462" width="54.33203125" bestFit="1" customWidth="1"/>
    <col min="463" max="463" width="99" bestFit="1" customWidth="1"/>
    <col min="464" max="464" width="54.83203125" bestFit="1" customWidth="1"/>
    <col min="465" max="465" width="41" bestFit="1" customWidth="1"/>
    <col min="466" max="466" width="58.83203125" bestFit="1" customWidth="1"/>
    <col min="467" max="467" width="53.83203125" bestFit="1" customWidth="1"/>
    <col min="468" max="468" width="24.6640625" bestFit="1" customWidth="1"/>
    <col min="469" max="469" width="50" bestFit="1" customWidth="1"/>
    <col min="470" max="470" width="67.6640625" bestFit="1" customWidth="1"/>
    <col min="471" max="471" width="32.33203125" bestFit="1" customWidth="1"/>
    <col min="472" max="472" width="43.83203125" bestFit="1" customWidth="1"/>
    <col min="473" max="473" width="13.5" bestFit="1" customWidth="1"/>
    <col min="474" max="474" width="21.1640625" bestFit="1" customWidth="1"/>
    <col min="475" max="475" width="49.83203125" bestFit="1" customWidth="1"/>
    <col min="476" max="476" width="51.5" bestFit="1" customWidth="1"/>
    <col min="477" max="477" width="50.33203125" bestFit="1" customWidth="1"/>
    <col min="478" max="478" width="48.6640625" bestFit="1" customWidth="1"/>
    <col min="479" max="479" width="21.1640625" bestFit="1" customWidth="1"/>
    <col min="480" max="480" width="35.33203125" bestFit="1" customWidth="1"/>
    <col min="481" max="481" width="62.5" bestFit="1" customWidth="1"/>
    <col min="482" max="482" width="27" bestFit="1" customWidth="1"/>
    <col min="483" max="483" width="25.1640625" bestFit="1" customWidth="1"/>
    <col min="484" max="484" width="11" bestFit="1" customWidth="1"/>
    <col min="485" max="485" width="43.1640625" bestFit="1" customWidth="1"/>
    <col min="486" max="486" width="23" bestFit="1" customWidth="1"/>
    <col min="487" max="487" width="46.33203125" bestFit="1" customWidth="1"/>
    <col min="488" max="488" width="13" bestFit="1" customWidth="1"/>
    <col min="489" max="489" width="12.5" bestFit="1" customWidth="1"/>
    <col min="490" max="490" width="53" bestFit="1" customWidth="1"/>
    <col min="491" max="491" width="16.33203125" bestFit="1" customWidth="1"/>
    <col min="492" max="492" width="34.1640625" bestFit="1" customWidth="1"/>
    <col min="493" max="493" width="25.1640625" bestFit="1" customWidth="1"/>
    <col min="494" max="494" width="14.83203125" bestFit="1" customWidth="1"/>
    <col min="495" max="495" width="42.1640625" bestFit="1" customWidth="1"/>
    <col min="496" max="496" width="65.6640625" bestFit="1" customWidth="1"/>
    <col min="497" max="497" width="29" bestFit="1" customWidth="1"/>
    <col min="498" max="498" width="24" bestFit="1" customWidth="1"/>
    <col min="499" max="499" width="40.33203125" bestFit="1" customWidth="1"/>
    <col min="500" max="500" width="29.83203125" bestFit="1" customWidth="1"/>
    <col min="501" max="501" width="20.33203125" bestFit="1" customWidth="1"/>
    <col min="502" max="502" width="12.5" bestFit="1" customWidth="1"/>
    <col min="503" max="503" width="30.83203125" bestFit="1" customWidth="1"/>
    <col min="504" max="504" width="39.33203125" bestFit="1" customWidth="1"/>
    <col min="505" max="505" width="63.1640625" bestFit="1" customWidth="1"/>
    <col min="506" max="506" width="29.33203125" bestFit="1" customWidth="1"/>
    <col min="507" max="507" width="67.1640625" bestFit="1" customWidth="1"/>
    <col min="508" max="508" width="24.33203125" bestFit="1" customWidth="1"/>
    <col min="509" max="509" width="28" bestFit="1" customWidth="1"/>
    <col min="510" max="510" width="16" bestFit="1" customWidth="1"/>
    <col min="511" max="511" width="63.83203125" bestFit="1" customWidth="1"/>
    <col min="512" max="512" width="30.6640625" bestFit="1" customWidth="1"/>
    <col min="513" max="513" width="38.83203125" bestFit="1" customWidth="1"/>
    <col min="514" max="514" width="36.33203125" bestFit="1" customWidth="1"/>
    <col min="515" max="515" width="30.33203125" bestFit="1" customWidth="1"/>
    <col min="516" max="516" width="121.83203125" bestFit="1" customWidth="1"/>
    <col min="517" max="517" width="40.6640625" bestFit="1" customWidth="1"/>
    <col min="518" max="518" width="45.1640625" bestFit="1" customWidth="1"/>
    <col min="519" max="519" width="23.1640625" bestFit="1" customWidth="1"/>
    <col min="520" max="520" width="14" bestFit="1" customWidth="1"/>
    <col min="521" max="521" width="28.5" bestFit="1" customWidth="1"/>
    <col min="522" max="522" width="29.1640625" bestFit="1" customWidth="1"/>
    <col min="523" max="523" width="40.5" bestFit="1" customWidth="1"/>
    <col min="524" max="524" width="25.5" bestFit="1" customWidth="1"/>
    <col min="525" max="525" width="21" bestFit="1" customWidth="1"/>
    <col min="526" max="526" width="22.33203125" bestFit="1" customWidth="1"/>
    <col min="527" max="527" width="36.1640625" bestFit="1" customWidth="1"/>
    <col min="528" max="528" width="36.6640625" bestFit="1" customWidth="1"/>
    <col min="529" max="529" width="76.6640625" bestFit="1" customWidth="1"/>
    <col min="530" max="530" width="16.5" bestFit="1" customWidth="1"/>
    <col min="531" max="531" width="35.6640625" bestFit="1" customWidth="1"/>
    <col min="532" max="532" width="20" bestFit="1" customWidth="1"/>
    <col min="533" max="533" width="17.1640625" bestFit="1" customWidth="1"/>
    <col min="534" max="534" width="68.33203125" bestFit="1" customWidth="1"/>
    <col min="535" max="535" width="29.5" bestFit="1" customWidth="1"/>
    <col min="536" max="536" width="76" bestFit="1" customWidth="1"/>
    <col min="537" max="537" width="31.5" bestFit="1" customWidth="1"/>
    <col min="538" max="538" width="62.1640625" bestFit="1" customWidth="1"/>
    <col min="539" max="539" width="29.1640625" bestFit="1" customWidth="1"/>
    <col min="540" max="540" width="60.6640625" bestFit="1" customWidth="1"/>
    <col min="541" max="541" width="43.6640625" bestFit="1" customWidth="1"/>
    <col min="542" max="542" width="32" bestFit="1" customWidth="1"/>
    <col min="543" max="543" width="22" bestFit="1" customWidth="1"/>
    <col min="544" max="544" width="46.6640625" bestFit="1" customWidth="1"/>
    <col min="545" max="545" width="23.6640625" bestFit="1" customWidth="1"/>
    <col min="546" max="546" width="33.33203125" bestFit="1" customWidth="1"/>
    <col min="547" max="547" width="66.6640625" bestFit="1" customWidth="1"/>
    <col min="548" max="548" width="25.5" bestFit="1" customWidth="1"/>
    <col min="549" max="549" width="17.33203125" bestFit="1" customWidth="1"/>
    <col min="550" max="550" width="41.6640625" bestFit="1" customWidth="1"/>
    <col min="551" max="551" width="44.83203125" bestFit="1" customWidth="1"/>
    <col min="552" max="552" width="36.33203125" bestFit="1" customWidth="1"/>
    <col min="553" max="553" width="18.33203125" bestFit="1" customWidth="1"/>
    <col min="554" max="554" width="73.33203125" bestFit="1" customWidth="1"/>
    <col min="555" max="555" width="30.5" bestFit="1" customWidth="1"/>
    <col min="556" max="556" width="43.83203125" bestFit="1" customWidth="1"/>
    <col min="557" max="557" width="42.33203125" bestFit="1" customWidth="1"/>
    <col min="558" max="558" width="20.83203125" bestFit="1" customWidth="1"/>
    <col min="559" max="559" width="25.1640625" bestFit="1" customWidth="1"/>
    <col min="560" max="560" width="51.6640625" bestFit="1" customWidth="1"/>
    <col min="561" max="561" width="27.6640625" bestFit="1" customWidth="1"/>
    <col min="562" max="562" width="39.83203125" bestFit="1" customWidth="1"/>
    <col min="563" max="563" width="44.1640625" bestFit="1" customWidth="1"/>
    <col min="564" max="564" width="76" bestFit="1" customWidth="1"/>
    <col min="565" max="565" width="64.5" bestFit="1" customWidth="1"/>
    <col min="566" max="566" width="40.6640625" bestFit="1" customWidth="1"/>
    <col min="567" max="567" width="83" bestFit="1" customWidth="1"/>
    <col min="568" max="568" width="52.1640625" bestFit="1" customWidth="1"/>
    <col min="569" max="569" width="40.6640625" bestFit="1" customWidth="1"/>
    <col min="570" max="570" width="78.83203125" bestFit="1" customWidth="1"/>
    <col min="571" max="571" width="61.83203125" bestFit="1" customWidth="1"/>
    <col min="572" max="572" width="34.33203125" bestFit="1" customWidth="1"/>
    <col min="573" max="573" width="75.5" bestFit="1" customWidth="1"/>
    <col min="574" max="574" width="45" bestFit="1" customWidth="1"/>
    <col min="575" max="575" width="96.6640625" bestFit="1" customWidth="1"/>
    <col min="576" max="576" width="87" bestFit="1" customWidth="1"/>
    <col min="577" max="577" width="84.6640625" bestFit="1" customWidth="1"/>
    <col min="578" max="578" width="50.33203125" bestFit="1" customWidth="1"/>
    <col min="579" max="579" width="26.1640625" bestFit="1" customWidth="1"/>
    <col min="580" max="580" width="23.33203125" bestFit="1" customWidth="1"/>
    <col min="581" max="581" width="17.33203125" bestFit="1" customWidth="1"/>
    <col min="582" max="582" width="60.33203125" bestFit="1" customWidth="1"/>
    <col min="583" max="583" width="33.83203125" bestFit="1" customWidth="1"/>
    <col min="584" max="584" width="45.6640625" bestFit="1" customWidth="1"/>
    <col min="585" max="585" width="40.83203125" bestFit="1" customWidth="1"/>
    <col min="586" max="586" width="26.33203125" bestFit="1" customWidth="1"/>
    <col min="587" max="587" width="40.1640625" bestFit="1" customWidth="1"/>
    <col min="588" max="588" width="40.6640625" bestFit="1" customWidth="1"/>
    <col min="589" max="589" width="45.5" bestFit="1" customWidth="1"/>
    <col min="590" max="590" width="14.33203125" bestFit="1" customWidth="1"/>
    <col min="591" max="591" width="21.6640625" bestFit="1" customWidth="1"/>
    <col min="592" max="592" width="23.6640625" bestFit="1" customWidth="1"/>
    <col min="593" max="593" width="43.33203125" bestFit="1" customWidth="1"/>
    <col min="594" max="594" width="34.1640625" bestFit="1" customWidth="1"/>
    <col min="595" max="595" width="61.6640625" bestFit="1" customWidth="1"/>
    <col min="596" max="596" width="37.6640625" bestFit="1" customWidth="1"/>
    <col min="597" max="597" width="43.1640625" bestFit="1" customWidth="1"/>
    <col min="598" max="598" width="31" bestFit="1" customWidth="1"/>
    <col min="599" max="599" width="41.83203125" bestFit="1" customWidth="1"/>
    <col min="600" max="600" width="24.5" bestFit="1" customWidth="1"/>
    <col min="601" max="601" width="41.6640625" bestFit="1" customWidth="1"/>
    <col min="602" max="602" width="33" bestFit="1" customWidth="1"/>
    <col min="603" max="603" width="42.1640625" bestFit="1" customWidth="1"/>
    <col min="604" max="604" width="16.83203125" bestFit="1" customWidth="1"/>
    <col min="605" max="605" width="39.5" bestFit="1" customWidth="1"/>
    <col min="606" max="606" width="57.1640625" bestFit="1" customWidth="1"/>
    <col min="607" max="607" width="89.5" bestFit="1" customWidth="1"/>
    <col min="608" max="608" width="73.83203125" bestFit="1" customWidth="1"/>
    <col min="609" max="609" width="50.6640625" bestFit="1" customWidth="1"/>
    <col min="610" max="610" width="74.1640625" bestFit="1" customWidth="1"/>
    <col min="611" max="611" width="93.33203125" bestFit="1" customWidth="1"/>
    <col min="612" max="612" width="39.33203125" bestFit="1" customWidth="1"/>
    <col min="613" max="613" width="27.6640625" bestFit="1" customWidth="1"/>
    <col min="614" max="614" width="16" bestFit="1" customWidth="1"/>
    <col min="615" max="615" width="21.5" bestFit="1" customWidth="1"/>
    <col min="616" max="616" width="21.1640625" bestFit="1" customWidth="1"/>
    <col min="617" max="617" width="26.6640625" bestFit="1" customWidth="1"/>
    <col min="618" max="618" width="14.1640625" bestFit="1" customWidth="1"/>
    <col min="619" max="619" width="79.83203125" bestFit="1" customWidth="1"/>
    <col min="620" max="620" width="20" bestFit="1" customWidth="1"/>
    <col min="621" max="621" width="63" bestFit="1" customWidth="1"/>
    <col min="622" max="622" width="53.6640625" bestFit="1" customWidth="1"/>
    <col min="623" max="623" width="16" bestFit="1" customWidth="1"/>
    <col min="624" max="624" width="24.5" bestFit="1" customWidth="1"/>
    <col min="625" max="625" width="40.5" bestFit="1" customWidth="1"/>
    <col min="626" max="626" width="71.1640625" bestFit="1" customWidth="1"/>
    <col min="627" max="627" width="66" bestFit="1" customWidth="1"/>
    <col min="628" max="628" width="11" bestFit="1" customWidth="1"/>
    <col min="629" max="629" width="24" bestFit="1" customWidth="1"/>
    <col min="630" max="630" width="45.83203125" bestFit="1" customWidth="1"/>
    <col min="631" max="631" width="40.33203125" bestFit="1" customWidth="1"/>
    <col min="632" max="632" width="19.1640625" bestFit="1" customWidth="1"/>
    <col min="633" max="633" width="43.33203125" bestFit="1" customWidth="1"/>
    <col min="634" max="634" width="34.6640625" bestFit="1" customWidth="1"/>
    <col min="635" max="635" width="33.1640625" bestFit="1" customWidth="1"/>
    <col min="636" max="636" width="15.6640625" bestFit="1" customWidth="1"/>
    <col min="637" max="637" width="26" bestFit="1" customWidth="1"/>
    <col min="638" max="638" width="40.6640625" bestFit="1" customWidth="1"/>
    <col min="639" max="639" width="19.1640625" bestFit="1" customWidth="1"/>
    <col min="640" max="640" width="27" bestFit="1" customWidth="1"/>
    <col min="641" max="641" width="106.83203125" bestFit="1" customWidth="1"/>
    <col min="642" max="642" width="64" bestFit="1" customWidth="1"/>
    <col min="643" max="643" width="85.83203125" bestFit="1" customWidth="1"/>
    <col min="644" max="644" width="74" bestFit="1" customWidth="1"/>
    <col min="645" max="645" width="83.6640625" bestFit="1" customWidth="1"/>
    <col min="646" max="646" width="13.33203125" bestFit="1" customWidth="1"/>
    <col min="647" max="647" width="41.6640625" bestFit="1" customWidth="1"/>
    <col min="648" max="648" width="50.6640625" bestFit="1" customWidth="1"/>
    <col min="649" max="649" width="54.33203125" bestFit="1" customWidth="1"/>
    <col min="650" max="650" width="99" bestFit="1" customWidth="1"/>
    <col min="651" max="651" width="54.83203125" bestFit="1" customWidth="1"/>
    <col min="652" max="652" width="41" bestFit="1" customWidth="1"/>
    <col min="653" max="653" width="58.83203125" bestFit="1" customWidth="1"/>
    <col min="654" max="654" width="53.83203125" bestFit="1" customWidth="1"/>
    <col min="655" max="655" width="24.6640625" bestFit="1" customWidth="1"/>
    <col min="656" max="656" width="50" bestFit="1" customWidth="1"/>
    <col min="657" max="657" width="67.6640625" bestFit="1" customWidth="1"/>
    <col min="658" max="658" width="32.33203125" bestFit="1" customWidth="1"/>
    <col min="659" max="659" width="43.83203125" bestFit="1" customWidth="1"/>
    <col min="660" max="660" width="13.5" bestFit="1" customWidth="1"/>
    <col min="661" max="661" width="21.1640625" bestFit="1" customWidth="1"/>
    <col min="662" max="662" width="49.83203125" bestFit="1" customWidth="1"/>
    <col min="663" max="663" width="51.5" bestFit="1" customWidth="1"/>
    <col min="664" max="664" width="50.33203125" bestFit="1" customWidth="1"/>
    <col min="665" max="665" width="48.6640625" bestFit="1" customWidth="1"/>
    <col min="666" max="666" width="21.1640625" bestFit="1" customWidth="1"/>
    <col min="667" max="667" width="35.33203125" bestFit="1" customWidth="1"/>
    <col min="668" max="668" width="62.5" bestFit="1" customWidth="1"/>
    <col min="669" max="669" width="27" bestFit="1" customWidth="1"/>
    <col min="670" max="670" width="25.1640625" bestFit="1" customWidth="1"/>
    <col min="671" max="671" width="11" bestFit="1" customWidth="1"/>
    <col min="672" max="672" width="43.1640625" bestFit="1" customWidth="1"/>
    <col min="673" max="673" width="23" bestFit="1" customWidth="1"/>
    <col min="674" max="674" width="46.33203125" bestFit="1" customWidth="1"/>
    <col min="675" max="675" width="13" bestFit="1" customWidth="1"/>
    <col min="676" max="676" width="12.5" bestFit="1" customWidth="1"/>
    <col min="677" max="677" width="53" bestFit="1" customWidth="1"/>
    <col min="678" max="678" width="16.33203125" bestFit="1" customWidth="1"/>
    <col min="679" max="679" width="34.1640625" bestFit="1" customWidth="1"/>
    <col min="680" max="680" width="25.1640625" bestFit="1" customWidth="1"/>
    <col min="681" max="681" width="14.83203125" bestFit="1" customWidth="1"/>
    <col min="682" max="682" width="42.1640625" bestFit="1" customWidth="1"/>
    <col min="683" max="683" width="65.6640625" bestFit="1" customWidth="1"/>
    <col min="684" max="684" width="29" bestFit="1" customWidth="1"/>
    <col min="685" max="685" width="24" bestFit="1" customWidth="1"/>
    <col min="686" max="686" width="40.33203125" bestFit="1" customWidth="1"/>
    <col min="687" max="687" width="29.83203125" bestFit="1" customWidth="1"/>
    <col min="688" max="688" width="20.33203125" bestFit="1" customWidth="1"/>
    <col min="689" max="689" width="12.5" bestFit="1" customWidth="1"/>
    <col min="690" max="690" width="30.83203125" bestFit="1" customWidth="1"/>
    <col min="691" max="691" width="39.33203125" bestFit="1" customWidth="1"/>
    <col min="692" max="692" width="63.1640625" bestFit="1" customWidth="1"/>
    <col min="693" max="693" width="29.33203125" bestFit="1" customWidth="1"/>
    <col min="694" max="694" width="67.1640625" bestFit="1" customWidth="1"/>
    <col min="695" max="695" width="24.33203125" bestFit="1" customWidth="1"/>
    <col min="696" max="696" width="28" bestFit="1" customWidth="1"/>
    <col min="697" max="697" width="16" bestFit="1" customWidth="1"/>
    <col min="698" max="698" width="63.83203125" bestFit="1" customWidth="1"/>
    <col min="699" max="699" width="30.6640625" bestFit="1" customWidth="1"/>
    <col min="700" max="700" width="38.83203125" bestFit="1" customWidth="1"/>
    <col min="701" max="701" width="36.33203125" bestFit="1" customWidth="1"/>
    <col min="702" max="702" width="30.33203125" bestFit="1" customWidth="1"/>
    <col min="703" max="703" width="121.83203125" bestFit="1" customWidth="1"/>
    <col min="704" max="704" width="40.6640625" bestFit="1" customWidth="1"/>
    <col min="705" max="705" width="45.1640625" bestFit="1" customWidth="1"/>
    <col min="706" max="706" width="23.1640625" bestFit="1" customWidth="1"/>
    <col min="707" max="707" width="14" bestFit="1" customWidth="1"/>
    <col min="708" max="708" width="28.5" bestFit="1" customWidth="1"/>
    <col min="709" max="709" width="29.1640625" bestFit="1" customWidth="1"/>
    <col min="710" max="710" width="40.5" bestFit="1" customWidth="1"/>
    <col min="711" max="711" width="25.5" bestFit="1" customWidth="1"/>
    <col min="712" max="712" width="21" bestFit="1" customWidth="1"/>
    <col min="713" max="713" width="22.33203125" bestFit="1" customWidth="1"/>
    <col min="714" max="714" width="36.1640625" bestFit="1" customWidth="1"/>
    <col min="715" max="715" width="36.6640625" bestFit="1" customWidth="1"/>
    <col min="716" max="716" width="76.6640625" bestFit="1" customWidth="1"/>
    <col min="717" max="717" width="16.5" bestFit="1" customWidth="1"/>
    <col min="718" max="718" width="35.6640625" bestFit="1" customWidth="1"/>
    <col min="719" max="719" width="20" bestFit="1" customWidth="1"/>
    <col min="720" max="720" width="17.1640625" bestFit="1" customWidth="1"/>
    <col min="721" max="721" width="68.33203125" bestFit="1" customWidth="1"/>
    <col min="722" max="722" width="29.5" bestFit="1" customWidth="1"/>
    <col min="723" max="723" width="76" bestFit="1" customWidth="1"/>
    <col min="724" max="724" width="31.5" bestFit="1" customWidth="1"/>
    <col min="725" max="725" width="62.1640625" bestFit="1" customWidth="1"/>
    <col min="726" max="726" width="29.1640625" bestFit="1" customWidth="1"/>
    <col min="727" max="727" width="60.6640625" bestFit="1" customWidth="1"/>
    <col min="728" max="728" width="43.6640625" bestFit="1" customWidth="1"/>
    <col min="729" max="729" width="32" bestFit="1" customWidth="1"/>
    <col min="730" max="730" width="22" bestFit="1" customWidth="1"/>
    <col min="731" max="731" width="46.6640625" bestFit="1" customWidth="1"/>
    <col min="732" max="732" width="23.6640625" bestFit="1" customWidth="1"/>
    <col min="733" max="733" width="33.33203125" bestFit="1" customWidth="1"/>
    <col min="734" max="734" width="66.6640625" bestFit="1" customWidth="1"/>
    <col min="735" max="735" width="25.5" bestFit="1" customWidth="1"/>
    <col min="736" max="736" width="17.33203125" bestFit="1" customWidth="1"/>
    <col min="737" max="737" width="41.6640625" bestFit="1" customWidth="1"/>
    <col min="738" max="738" width="44.83203125" bestFit="1" customWidth="1"/>
    <col min="739" max="739" width="36.33203125" bestFit="1" customWidth="1"/>
    <col min="740" max="740" width="18.33203125" bestFit="1" customWidth="1"/>
    <col min="741" max="741" width="73.33203125" bestFit="1" customWidth="1"/>
    <col min="742" max="742" width="30.5" bestFit="1" customWidth="1"/>
    <col min="743" max="743" width="43.83203125" bestFit="1" customWidth="1"/>
    <col min="744" max="744" width="42.33203125" bestFit="1" customWidth="1"/>
    <col min="745" max="745" width="20.83203125" bestFit="1" customWidth="1"/>
    <col min="746" max="746" width="25.1640625" bestFit="1" customWidth="1"/>
    <col min="747" max="747" width="51.6640625" bestFit="1" customWidth="1"/>
    <col min="748" max="748" width="27.6640625" bestFit="1" customWidth="1"/>
    <col min="749" max="749" width="39.83203125" bestFit="1" customWidth="1"/>
    <col min="750" max="750" width="14.33203125" bestFit="1" customWidth="1"/>
    <col min="751" max="751" width="16.33203125" bestFit="1" customWidth="1"/>
    <col min="752" max="752" width="27.33203125" bestFit="1" customWidth="1"/>
    <col min="753" max="753" width="25.5" bestFit="1" customWidth="1"/>
  </cols>
  <sheetData>
    <row r="3" spans="1:5">
      <c r="A3" s="18" t="s">
        <v>1102</v>
      </c>
      <c r="B3" s="18" t="s">
        <v>696</v>
      </c>
      <c r="C3" t="s">
        <v>1105</v>
      </c>
      <c r="D3" t="s">
        <v>1099</v>
      </c>
      <c r="E3" t="s">
        <v>1104</v>
      </c>
    </row>
    <row r="4" spans="1:5">
      <c r="A4" t="s">
        <v>967</v>
      </c>
      <c r="C4" s="29">
        <v>0.23959164889174051</v>
      </c>
      <c r="D4" s="29">
        <v>0.16105579099020909</v>
      </c>
      <c r="E4" s="29">
        <v>0.50942381121742808</v>
      </c>
    </row>
    <row r="5" spans="1:5">
      <c r="A5" t="s">
        <v>1059</v>
      </c>
      <c r="C5" s="29">
        <v>0.38145819951061377</v>
      </c>
      <c r="D5" s="29">
        <v>0.12841336327011765</v>
      </c>
      <c r="E5" s="29">
        <v>0.34622540427300386</v>
      </c>
    </row>
    <row r="6" spans="1:5">
      <c r="A6" t="s">
        <v>1049</v>
      </c>
      <c r="C6" s="29">
        <v>0.42514488158607278</v>
      </c>
      <c r="D6" s="29">
        <v>0.15322120050548452</v>
      </c>
      <c r="E6" s="29">
        <v>0.43766802728932896</v>
      </c>
    </row>
    <row r="7" spans="1:5">
      <c r="A7" t="s">
        <v>1060</v>
      </c>
      <c r="C7" s="29">
        <v>0.51041666666666663</v>
      </c>
      <c r="D7" s="29">
        <v>7.2916666666666671E-2</v>
      </c>
      <c r="E7" s="29">
        <v>0.15625</v>
      </c>
    </row>
    <row r="8" spans="1:5">
      <c r="A8" t="s">
        <v>966</v>
      </c>
      <c r="C8" s="29">
        <v>0.27159124084934111</v>
      </c>
      <c r="D8" s="29">
        <v>0.11844130569486133</v>
      </c>
      <c r="E8" s="29">
        <v>0.4342223713167877</v>
      </c>
    </row>
    <row r="9" spans="1:5">
      <c r="A9" t="s">
        <v>1056</v>
      </c>
      <c r="C9" s="29">
        <v>0.27916141853110166</v>
      </c>
      <c r="D9" s="29">
        <v>9.1860101381089826E-2</v>
      </c>
      <c r="E9" s="29">
        <v>0.43965124474465572</v>
      </c>
    </row>
    <row r="10" spans="1:5">
      <c r="A10" t="s">
        <v>1055</v>
      </c>
      <c r="C10" s="29">
        <v>0.25997040766446899</v>
      </c>
      <c r="D10" s="29">
        <v>3.2198364069063568E-2</v>
      </c>
      <c r="E10" s="29">
        <v>0.39360798722474455</v>
      </c>
    </row>
    <row r="11" spans="1:5">
      <c r="A11" t="s">
        <v>1053</v>
      </c>
      <c r="C11" s="29">
        <v>0.28596960566486807</v>
      </c>
      <c r="D11" s="29">
        <v>2.4338691334445755E-2</v>
      </c>
      <c r="E11" s="29">
        <v>0.41648479891667928</v>
      </c>
    </row>
    <row r="12" spans="1:5">
      <c r="A12" t="s">
        <v>1052</v>
      </c>
      <c r="C12" s="29">
        <v>0.38436522518069977</v>
      </c>
      <c r="D12" s="29">
        <v>5.5887995069133091E-2</v>
      </c>
      <c r="E12" s="29">
        <v>0.32423390380386991</v>
      </c>
    </row>
    <row r="13" spans="1:5">
      <c r="A13" t="s">
        <v>1050</v>
      </c>
      <c r="C13" s="29">
        <v>0.24501082974957228</v>
      </c>
      <c r="D13" s="29">
        <v>3.5791234285568241E-2</v>
      </c>
      <c r="E13" s="29">
        <v>0.35971082107332863</v>
      </c>
    </row>
    <row r="14" spans="1:5">
      <c r="A14" t="s">
        <v>697</v>
      </c>
      <c r="C14" s="29">
        <v>0.63940001719825768</v>
      </c>
      <c r="D14" s="29">
        <v>0.42830233564078884</v>
      </c>
      <c r="E14" s="29">
        <v>0.78854075722918848</v>
      </c>
    </row>
    <row r="15" spans="1:5">
      <c r="A15" t="s">
        <v>962</v>
      </c>
      <c r="C15" s="29">
        <v>0.48660714285714285</v>
      </c>
      <c r="D15" s="29">
        <v>0.20089285714285715</v>
      </c>
      <c r="E15" s="29">
        <v>8.2589285714285712E-2</v>
      </c>
    </row>
    <row r="16" spans="1:5">
      <c r="A16" t="s">
        <v>1061</v>
      </c>
      <c r="C16" s="29">
        <v>0.43181818181818182</v>
      </c>
      <c r="D16" s="29">
        <v>0.19696969696969696</v>
      </c>
      <c r="E16" s="29">
        <v>0.25757575757575757</v>
      </c>
    </row>
    <row r="17" spans="1:5">
      <c r="A17" t="s">
        <v>964</v>
      </c>
      <c r="C17" s="29">
        <v>0.22203031713184521</v>
      </c>
      <c r="D17" s="29">
        <v>1.7441041501537483E-2</v>
      </c>
      <c r="E17" s="29">
        <v>0.45218468226209479</v>
      </c>
    </row>
    <row r="18" spans="1:5">
      <c r="A18" t="s">
        <v>1057</v>
      </c>
      <c r="C18" s="29">
        <v>0.66310160427807485</v>
      </c>
      <c r="D18" s="29">
        <v>0.29303539597657247</v>
      </c>
      <c r="E18" s="29">
        <v>0.16144639674051439</v>
      </c>
    </row>
    <row r="19" spans="1:5">
      <c r="A19" t="s">
        <v>1058</v>
      </c>
      <c r="C19" s="29">
        <v>0.28969668443231089</v>
      </c>
      <c r="D19" s="29">
        <v>0.14048580172886044</v>
      </c>
      <c r="E19" s="29">
        <v>0.40098902979292039</v>
      </c>
    </row>
    <row r="20" spans="1:5">
      <c r="A20" t="s">
        <v>1051</v>
      </c>
      <c r="C20" s="29">
        <v>0.52946046519914991</v>
      </c>
      <c r="D20" s="29">
        <v>0.15907110981050482</v>
      </c>
      <c r="E20" s="29">
        <v>0.30948191221438487</v>
      </c>
    </row>
    <row r="21" spans="1:5">
      <c r="A21" t="s">
        <v>1054</v>
      </c>
      <c r="C21" s="29">
        <v>0.38610052188036775</v>
      </c>
      <c r="D21" s="29">
        <v>9.7433622788051039E-2</v>
      </c>
      <c r="E21" s="29">
        <v>0.36425606752008827</v>
      </c>
    </row>
    <row r="22" spans="1:5">
      <c r="A22" t="s">
        <v>1048</v>
      </c>
      <c r="C22" s="29">
        <v>0.27110582639714625</v>
      </c>
      <c r="D22" s="29">
        <v>5.4696789536266346E-2</v>
      </c>
      <c r="E22" s="29">
        <v>0.35909631391200952</v>
      </c>
    </row>
    <row r="23" spans="1:5">
      <c r="A23" t="s">
        <v>963</v>
      </c>
      <c r="C23" s="29">
        <v>0.27493077616200678</v>
      </c>
      <c r="D23" s="29">
        <v>2.8059825181034313E-2</v>
      </c>
      <c r="E23" s="29">
        <v>0.39908578494241764</v>
      </c>
    </row>
    <row r="24" spans="1:5">
      <c r="A24" t="s">
        <v>965</v>
      </c>
      <c r="C24" s="29">
        <v>0.22044523606795488</v>
      </c>
      <c r="D24" s="29">
        <v>6.9584055293425887E-2</v>
      </c>
      <c r="E24" s="29">
        <v>0.38877365610123382</v>
      </c>
    </row>
    <row r="25" spans="1:5">
      <c r="A25" t="s">
        <v>1046</v>
      </c>
      <c r="C25" s="29">
        <v>0.3465390509534319</v>
      </c>
      <c r="D25" s="29">
        <v>0.11305134964813557</v>
      </c>
      <c r="E25" s="29">
        <v>0.40182780382411643</v>
      </c>
    </row>
  </sheetData>
  <conditionalFormatting pivot="1" sqref="C4:E6">
    <cfRule type="colorScale" priority="23">
      <colorScale>
        <cfvo type="min"/>
        <cfvo type="percentile" val="50"/>
        <cfvo type="max"/>
        <color rgb="FFF8696B"/>
        <color rgb="FFFFEB84"/>
        <color rgb="FF63BE7B"/>
      </colorScale>
    </cfRule>
  </conditionalFormatting>
  <conditionalFormatting pivot="1" sqref="C4:E24">
    <cfRule type="colorScale" priority="22">
      <colorScale>
        <cfvo type="min"/>
        <cfvo type="percentile" val="50"/>
        <cfvo type="max"/>
        <color rgb="FFF8696B"/>
        <color rgb="FFFFEB84"/>
        <color rgb="FF63BE7B"/>
      </colorScale>
    </cfRule>
  </conditionalFormatting>
  <conditionalFormatting pivot="1">
    <cfRule type="colorScale" priority="21">
      <colorScale>
        <cfvo type="min"/>
        <cfvo type="percentile" val="50"/>
        <cfvo type="max"/>
        <color rgb="FFF8696B"/>
        <color rgb="FFFFEB84"/>
        <color rgb="FF63BE7B"/>
      </colorScale>
    </cfRule>
  </conditionalFormatting>
  <conditionalFormatting pivot="1">
    <cfRule type="colorScale" priority="20">
      <colorScale>
        <cfvo type="min"/>
        <cfvo type="percentile" val="50"/>
        <cfvo type="max"/>
        <color rgb="FFF8696B"/>
        <color rgb="FFFFEB84"/>
        <color rgb="FF63BE7B"/>
      </colorScale>
    </cfRule>
  </conditionalFormatting>
  <conditionalFormatting pivot="1">
    <cfRule type="colorScale" priority="19">
      <colorScale>
        <cfvo type="min"/>
        <cfvo type="percentile" val="50"/>
        <cfvo type="max"/>
        <color rgb="FFF8696B"/>
        <color rgb="FFFFEB84"/>
        <color rgb="FF63BE7B"/>
      </colorScale>
    </cfRule>
  </conditionalFormatting>
  <conditionalFormatting pivot="1">
    <cfRule type="colorScale" priority="18">
      <colorScale>
        <cfvo type="min"/>
        <cfvo type="percentile" val="50"/>
        <cfvo type="max"/>
        <color rgb="FFF8696B"/>
        <color rgb="FFFFEB84"/>
        <color rgb="FF63BE7B"/>
      </colorScale>
    </cfRule>
  </conditionalFormatting>
  <conditionalFormatting pivot="1">
    <cfRule type="colorScale" priority="17">
      <colorScale>
        <cfvo type="min"/>
        <cfvo type="percentile" val="50"/>
        <cfvo type="max"/>
        <color rgb="FFF8696B"/>
        <color rgb="FFFFEB84"/>
        <color rgb="FF63BE7B"/>
      </colorScale>
    </cfRule>
  </conditionalFormatting>
  <conditionalFormatting pivot="1">
    <cfRule type="colorScale" priority="16">
      <colorScale>
        <cfvo type="min"/>
        <cfvo type="percentile" val="50"/>
        <cfvo type="max"/>
        <color rgb="FFF8696B"/>
        <color rgb="FFFFEB84"/>
        <color rgb="FF63BE7B"/>
      </colorScale>
    </cfRule>
  </conditionalFormatting>
  <conditionalFormatting pivot="1">
    <cfRule type="colorScale" priority="15">
      <colorScale>
        <cfvo type="min"/>
        <cfvo type="percentile" val="50"/>
        <cfvo type="max"/>
        <color rgb="FFF8696B"/>
        <color rgb="FFFFEB84"/>
        <color rgb="FF63BE7B"/>
      </colorScale>
    </cfRule>
  </conditionalFormatting>
  <conditionalFormatting pivot="1">
    <cfRule type="colorScale" priority="14">
      <colorScale>
        <cfvo type="min"/>
        <cfvo type="percentile" val="50"/>
        <cfvo type="max"/>
        <color rgb="FFF8696B"/>
        <color rgb="FFFFEB84"/>
        <color rgb="FF63BE7B"/>
      </colorScale>
    </cfRule>
  </conditionalFormatting>
  <conditionalFormatting pivot="1">
    <cfRule type="colorScale" priority="13">
      <colorScale>
        <cfvo type="min"/>
        <cfvo type="percentile" val="50"/>
        <cfvo type="max"/>
        <color rgb="FFF8696B"/>
        <color rgb="FFFFEB84"/>
        <color rgb="FF63BE7B"/>
      </colorScale>
    </cfRule>
  </conditionalFormatting>
  <conditionalFormatting pivot="1">
    <cfRule type="colorScale" priority="12">
      <colorScale>
        <cfvo type="min"/>
        <cfvo type="percentile" val="50"/>
        <cfvo type="max"/>
        <color rgb="FFF8696B"/>
        <color rgb="FFFFEB84"/>
        <color rgb="FF63BE7B"/>
      </colorScale>
    </cfRule>
  </conditionalFormatting>
  <conditionalFormatting pivot="1">
    <cfRule type="colorScale" priority="11">
      <colorScale>
        <cfvo type="min"/>
        <cfvo type="percentile" val="50"/>
        <cfvo type="max"/>
        <color rgb="FFF8696B"/>
        <color rgb="FFFFEB84"/>
        <color rgb="FF63BE7B"/>
      </colorScale>
    </cfRule>
  </conditionalFormatting>
  <conditionalFormatting pivot="1">
    <cfRule type="colorScale" priority="10">
      <colorScale>
        <cfvo type="min"/>
        <cfvo type="percentile" val="50"/>
        <cfvo type="max"/>
        <color rgb="FFF8696B"/>
        <color rgb="FFFFEB84"/>
        <color rgb="FF63BE7B"/>
      </colorScale>
    </cfRule>
  </conditionalFormatting>
  <conditionalFormatting pivot="1">
    <cfRule type="colorScale" priority="9">
      <colorScale>
        <cfvo type="min"/>
        <cfvo type="percentile" val="50"/>
        <cfvo type="max"/>
        <color rgb="FFF8696B"/>
        <color rgb="FFFFEB84"/>
        <color rgb="FF63BE7B"/>
      </colorScale>
    </cfRule>
  </conditionalFormatting>
  <conditionalFormatting pivot="1">
    <cfRule type="colorScale" priority="8">
      <colorScale>
        <cfvo type="min"/>
        <cfvo type="percentile" val="50"/>
        <cfvo type="max"/>
        <color rgb="FFF8696B"/>
        <color rgb="FFFFEB84"/>
        <color rgb="FF63BE7B"/>
      </colorScale>
    </cfRule>
  </conditionalFormatting>
  <conditionalFormatting pivot="1">
    <cfRule type="colorScale" priority="7">
      <colorScale>
        <cfvo type="min"/>
        <cfvo type="percentile" val="50"/>
        <cfvo type="max"/>
        <color rgb="FFF8696B"/>
        <color rgb="FFFFEB84"/>
        <color rgb="FF63BE7B"/>
      </colorScale>
    </cfRule>
  </conditionalFormatting>
  <conditionalFormatting pivot="1">
    <cfRule type="colorScale" priority="6">
      <colorScale>
        <cfvo type="min"/>
        <cfvo type="percentile" val="50"/>
        <cfvo type="max"/>
        <color rgb="FFF8696B"/>
        <color rgb="FFFFEB84"/>
        <color rgb="FF63BE7B"/>
      </colorScale>
    </cfRule>
  </conditionalFormatting>
  <conditionalFormatting pivot="1">
    <cfRule type="colorScale" priority="5">
      <colorScale>
        <cfvo type="min"/>
        <cfvo type="percentile" val="50"/>
        <cfvo type="max"/>
        <color rgb="FFF8696B"/>
        <color rgb="FFFFEB84"/>
        <color rgb="FF63BE7B"/>
      </colorScale>
    </cfRule>
  </conditionalFormatting>
  <conditionalFormatting pivot="1">
    <cfRule type="colorScale" priority="4">
      <colorScale>
        <cfvo type="min"/>
        <cfvo type="percentile" val="50"/>
        <cfvo type="max"/>
        <color rgb="FFF8696B"/>
        <color rgb="FFFFEB84"/>
        <color rgb="FF63BE7B"/>
      </colorScale>
    </cfRule>
  </conditionalFormatting>
  <conditionalFormatting pivot="1">
    <cfRule type="colorScale" priority="3">
      <colorScale>
        <cfvo type="min"/>
        <cfvo type="percentile" val="50"/>
        <cfvo type="max"/>
        <color rgb="FFF8696B"/>
        <color rgb="FFFFEB84"/>
        <color rgb="FF63BE7B"/>
      </colorScale>
    </cfRule>
  </conditionalFormatting>
  <conditionalFormatting pivot="1">
    <cfRule type="colorScale" priority="2">
      <colorScale>
        <cfvo type="min"/>
        <cfvo type="percentile" val="50"/>
        <cfvo type="max"/>
        <color rgb="FFF8696B"/>
        <color rgb="FFFFEB84"/>
        <color rgb="FF63BE7B"/>
      </colorScale>
    </cfRule>
  </conditionalFormatting>
  <conditionalFormatting pivot="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30C94-D5BF-C944-A20E-ACD29CF91E4E}">
  <dimension ref="A3:D16"/>
  <sheetViews>
    <sheetView workbookViewId="0">
      <selection activeCell="C6" sqref="C6"/>
    </sheetView>
  </sheetViews>
  <sheetFormatPr baseColWidth="10" defaultRowHeight="15"/>
  <cols>
    <col min="1" max="1" width="10" bestFit="1" customWidth="1"/>
    <col min="2" max="2" width="9.6640625" bestFit="1" customWidth="1"/>
    <col min="3" max="3" width="22" bestFit="1" customWidth="1"/>
    <col min="4" max="4" width="19" bestFit="1" customWidth="1"/>
    <col min="5" max="5" width="22.1640625" bestFit="1" customWidth="1"/>
    <col min="6" max="618" width="23.83203125" bestFit="1" customWidth="1"/>
    <col min="619" max="619" width="21.83203125" bestFit="1" customWidth="1"/>
    <col min="620" max="620" width="28.1640625" bestFit="1" customWidth="1"/>
    <col min="621" max="621" width="26.33203125" bestFit="1" customWidth="1"/>
    <col min="622" max="622" width="4.5" bestFit="1" customWidth="1"/>
    <col min="623" max="624" width="8.6640625" bestFit="1" customWidth="1"/>
    <col min="625" max="625" width="4.5" bestFit="1" customWidth="1"/>
    <col min="626" max="626" width="7.6640625" bestFit="1" customWidth="1"/>
    <col min="627" max="627" width="8.6640625" bestFit="1" customWidth="1"/>
    <col min="628" max="628" width="4.5" bestFit="1" customWidth="1"/>
    <col min="629" max="629" width="7.6640625" bestFit="1" customWidth="1"/>
    <col min="630" max="630" width="8.6640625" bestFit="1" customWidth="1"/>
    <col min="631" max="631" width="4.5" bestFit="1" customWidth="1"/>
    <col min="632" max="632" width="7.6640625" bestFit="1" customWidth="1"/>
    <col min="633" max="633" width="8.6640625" bestFit="1" customWidth="1"/>
    <col min="634" max="634" width="4.5" bestFit="1" customWidth="1"/>
    <col min="635" max="635" width="8.6640625" bestFit="1" customWidth="1"/>
    <col min="636" max="636" width="4.5" bestFit="1" customWidth="1"/>
    <col min="637" max="638" width="8.6640625" bestFit="1" customWidth="1"/>
    <col min="639" max="639" width="4.5" bestFit="1" customWidth="1"/>
    <col min="640" max="641" width="8.6640625" bestFit="1" customWidth="1"/>
    <col min="642" max="642" width="4.5" bestFit="1" customWidth="1"/>
    <col min="643" max="644" width="8.6640625" bestFit="1" customWidth="1"/>
    <col min="645" max="645" width="4.5" bestFit="1" customWidth="1"/>
    <col min="646" max="647" width="8.6640625" bestFit="1" customWidth="1"/>
    <col min="648" max="648" width="4.5" bestFit="1" customWidth="1"/>
    <col min="649" max="650" width="8.6640625" bestFit="1" customWidth="1"/>
    <col min="651" max="651" width="4.5" bestFit="1" customWidth="1"/>
    <col min="652" max="653" width="8.6640625" bestFit="1" customWidth="1"/>
    <col min="654" max="654" width="4.5" bestFit="1" customWidth="1"/>
    <col min="655" max="656" width="8.6640625" bestFit="1" customWidth="1"/>
    <col min="657" max="657" width="4.5" bestFit="1" customWidth="1"/>
    <col min="658" max="659" width="8.6640625" bestFit="1" customWidth="1"/>
    <col min="660" max="660" width="4.5" bestFit="1" customWidth="1"/>
    <col min="661" max="662" width="8.6640625" bestFit="1" customWidth="1"/>
    <col min="663" max="663" width="4.5" bestFit="1" customWidth="1"/>
    <col min="664" max="665" width="8.6640625" bestFit="1" customWidth="1"/>
    <col min="666" max="666" width="10" bestFit="1" customWidth="1"/>
  </cols>
  <sheetData>
    <row r="3" spans="1:4">
      <c r="A3" s="18" t="s">
        <v>1098</v>
      </c>
      <c r="B3" t="s">
        <v>1103</v>
      </c>
      <c r="C3" t="s">
        <v>1099</v>
      </c>
      <c r="D3" t="s">
        <v>1100</v>
      </c>
    </row>
    <row r="4" spans="1:4">
      <c r="A4" s="19" t="s">
        <v>1085</v>
      </c>
      <c r="B4" s="17">
        <v>0.41017797993425265</v>
      </c>
      <c r="C4" s="17">
        <v>6.4873532903207284E-2</v>
      </c>
      <c r="D4" s="17">
        <v>0.26308230817058992</v>
      </c>
    </row>
    <row r="5" spans="1:4">
      <c r="A5" s="19" t="s">
        <v>1076</v>
      </c>
      <c r="B5" s="17">
        <v>0.37815075430734874</v>
      </c>
      <c r="C5" s="17">
        <v>5.0778106836037749E-2</v>
      </c>
      <c r="D5" s="17">
        <v>0.32023569141325947</v>
      </c>
    </row>
    <row r="6" spans="1:4">
      <c r="A6" s="19" t="s">
        <v>1078</v>
      </c>
      <c r="B6" s="17">
        <v>0.32136325750306854</v>
      </c>
      <c r="C6" s="17">
        <v>6.203442682145386E-2</v>
      </c>
      <c r="D6" s="17">
        <v>0.34561345037544167</v>
      </c>
    </row>
    <row r="7" spans="1:4">
      <c r="A7" s="19" t="s">
        <v>1077</v>
      </c>
      <c r="B7" s="17">
        <v>0.37167214281830913</v>
      </c>
      <c r="C7" s="17">
        <v>7.2356896846808141E-2</v>
      </c>
      <c r="D7" s="17">
        <v>0.35975838070946164</v>
      </c>
    </row>
    <row r="8" spans="1:4">
      <c r="A8" s="19" t="s">
        <v>1075</v>
      </c>
      <c r="B8" s="17">
        <v>0.30536589057369934</v>
      </c>
      <c r="C8" s="17">
        <v>3.3986790807977181E-2</v>
      </c>
      <c r="D8" s="17">
        <v>0.36320490676983458</v>
      </c>
    </row>
    <row r="9" spans="1:4">
      <c r="A9" s="19" t="s">
        <v>1081</v>
      </c>
      <c r="B9" s="17">
        <v>0.31568608050056696</v>
      </c>
      <c r="C9" s="17">
        <v>0.14315285888593793</v>
      </c>
      <c r="D9" s="17">
        <v>0.39871716282507874</v>
      </c>
    </row>
    <row r="10" spans="1:4">
      <c r="A10" s="19" t="s">
        <v>1079</v>
      </c>
      <c r="B10" s="17">
        <v>0.31838871300734201</v>
      </c>
      <c r="C10" s="17">
        <v>0.10074049970030355</v>
      </c>
      <c r="D10" s="17">
        <v>0.40435679381701189</v>
      </c>
    </row>
    <row r="11" spans="1:4">
      <c r="A11" s="19" t="s">
        <v>1080</v>
      </c>
      <c r="B11" s="17">
        <v>0.34123760869916847</v>
      </c>
      <c r="C11" s="17">
        <v>0.11141408462407394</v>
      </c>
      <c r="D11" s="17">
        <v>0.41590915530246408</v>
      </c>
    </row>
    <row r="12" spans="1:4">
      <c r="A12" s="19" t="s">
        <v>1074</v>
      </c>
      <c r="B12" s="17">
        <v>0.48853850404180343</v>
      </c>
      <c r="C12" s="17">
        <v>0.15880569529449587</v>
      </c>
      <c r="D12" s="17">
        <v>0.4208799702055866</v>
      </c>
    </row>
    <row r="13" spans="1:4">
      <c r="A13" s="19" t="s">
        <v>1084</v>
      </c>
      <c r="B13" s="17">
        <v>0.31243997748894003</v>
      </c>
      <c r="C13" s="17">
        <v>0.18102473606819799</v>
      </c>
      <c r="D13" s="17">
        <v>0.4285656437659095</v>
      </c>
    </row>
    <row r="14" spans="1:4">
      <c r="A14" s="19" t="s">
        <v>1083</v>
      </c>
      <c r="B14" s="17">
        <v>0.34324306282253675</v>
      </c>
      <c r="C14" s="17">
        <v>0.15129147916011876</v>
      </c>
      <c r="D14" s="17">
        <v>0.44788242215080737</v>
      </c>
    </row>
    <row r="15" spans="1:4">
      <c r="A15" s="19" t="s">
        <v>1082</v>
      </c>
      <c r="B15" s="17">
        <v>0.30299332690297021</v>
      </c>
      <c r="C15" s="17">
        <v>8.8604740388694384E-2</v>
      </c>
      <c r="D15" s="17">
        <v>0.4601671075972501</v>
      </c>
    </row>
    <row r="16" spans="1:4">
      <c r="A16" s="19" t="s">
        <v>1046</v>
      </c>
      <c r="B16" s="17">
        <v>0.34653905095343174</v>
      </c>
      <c r="C16" s="17">
        <v>0.11305134964813561</v>
      </c>
      <c r="D16" s="17">
        <v>0.40182780382411615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E5B6C-AB1F-4552-A65E-76120DB19870}">
  <dimension ref="A1:B16"/>
  <sheetViews>
    <sheetView workbookViewId="0">
      <selection activeCell="B2" sqref="B2"/>
    </sheetView>
  </sheetViews>
  <sheetFormatPr baseColWidth="10" defaultColWidth="8.83203125" defaultRowHeight="15"/>
  <cols>
    <col min="1" max="1" width="13.83203125" bestFit="1" customWidth="1"/>
    <col min="2" max="2" width="25.6640625" bestFit="1" customWidth="1"/>
  </cols>
  <sheetData>
    <row r="1" spans="1:2">
      <c r="A1" s="1" t="s">
        <v>1</v>
      </c>
      <c r="B1" s="1" t="s">
        <v>677</v>
      </c>
    </row>
    <row r="2" spans="1:2" s="1" customFormat="1">
      <c r="A2" s="1" t="s">
        <v>274</v>
      </c>
      <c r="B2" t="s">
        <v>678</v>
      </c>
    </row>
    <row r="3" spans="1:2">
      <c r="B3" t="s">
        <v>679</v>
      </c>
    </row>
    <row r="4" spans="1:2">
      <c r="B4" t="s">
        <v>680</v>
      </c>
    </row>
    <row r="5" spans="1:2">
      <c r="B5" t="s">
        <v>416</v>
      </c>
    </row>
    <row r="6" spans="1:2">
      <c r="B6" t="s">
        <v>320</v>
      </c>
    </row>
    <row r="7" spans="1:2">
      <c r="B7" t="s">
        <v>681</v>
      </c>
    </row>
    <row r="8" spans="1:2">
      <c r="A8" s="1" t="s">
        <v>279</v>
      </c>
      <c r="B8" t="s">
        <v>681</v>
      </c>
    </row>
    <row r="9" spans="1:2">
      <c r="B9" t="s">
        <v>682</v>
      </c>
    </row>
    <row r="10" spans="1:2">
      <c r="B10" t="s">
        <v>683</v>
      </c>
    </row>
    <row r="11" spans="1:2">
      <c r="B11" t="s">
        <v>686</v>
      </c>
    </row>
    <row r="12" spans="1:2">
      <c r="A12" s="1" t="s">
        <v>684</v>
      </c>
      <c r="B12" t="s">
        <v>395</v>
      </c>
    </row>
    <row r="13" spans="1:2">
      <c r="A13" s="1"/>
      <c r="B13" t="s">
        <v>10</v>
      </c>
    </row>
    <row r="14" spans="1:2">
      <c r="B14" t="s">
        <v>685</v>
      </c>
    </row>
    <row r="15" spans="1:2">
      <c r="B15" t="s">
        <v>12</v>
      </c>
    </row>
    <row r="16" spans="1:2">
      <c r="B16" t="s">
        <v>386</v>
      </c>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89"/>
  <sheetViews>
    <sheetView topLeftCell="D1" zoomScaleNormal="100" workbookViewId="0">
      <selection activeCell="E20" sqref="E20"/>
    </sheetView>
  </sheetViews>
  <sheetFormatPr baseColWidth="10" defaultColWidth="8.83203125" defaultRowHeight="15"/>
  <cols>
    <col min="1" max="1" width="5.33203125" bestFit="1" customWidth="1"/>
    <col min="2" max="2" width="12" customWidth="1"/>
    <col min="3" max="4" width="84.6640625" customWidth="1"/>
    <col min="5" max="5" width="65.33203125" customWidth="1"/>
    <col min="6" max="6" width="17.83203125" bestFit="1" customWidth="1"/>
    <col min="7" max="7" width="14.6640625" bestFit="1" customWidth="1"/>
    <col min="8" max="8" width="14.6640625" customWidth="1"/>
    <col min="9" max="9" width="13.5" style="2" customWidth="1"/>
    <col min="10" max="10" width="16.33203125" style="2" customWidth="1"/>
    <col min="11" max="11" width="17.33203125" customWidth="1"/>
  </cols>
  <sheetData>
    <row r="1" spans="1:11" s="1" customFormat="1">
      <c r="A1" s="1" t="s">
        <v>780</v>
      </c>
      <c r="B1" s="1" t="s">
        <v>0</v>
      </c>
      <c r="C1" s="1" t="s">
        <v>283</v>
      </c>
      <c r="D1" s="1" t="s">
        <v>1043</v>
      </c>
      <c r="E1" s="1" t="s">
        <v>284</v>
      </c>
      <c r="F1" s="1" t="s">
        <v>1</v>
      </c>
      <c r="G1" s="1" t="s">
        <v>2</v>
      </c>
      <c r="H1" s="1" t="s">
        <v>1069</v>
      </c>
      <c r="I1" s="5" t="s">
        <v>506</v>
      </c>
      <c r="J1" s="5" t="s">
        <v>4</v>
      </c>
      <c r="K1" s="1" t="s">
        <v>3</v>
      </c>
    </row>
    <row r="2" spans="1:11">
      <c r="A2">
        <v>1</v>
      </c>
      <c r="B2">
        <v>166842821</v>
      </c>
      <c r="C2" t="s">
        <v>357</v>
      </c>
      <c r="D2" t="s">
        <v>357</v>
      </c>
      <c r="E2" s="8" t="s">
        <v>768</v>
      </c>
      <c r="F2" t="s">
        <v>272</v>
      </c>
      <c r="G2" t="s">
        <v>497</v>
      </c>
      <c r="H2" t="s">
        <v>1070</v>
      </c>
      <c r="I2" s="2">
        <v>42738</v>
      </c>
      <c r="J2" s="2">
        <v>45801</v>
      </c>
      <c r="K2" t="s">
        <v>507</v>
      </c>
    </row>
    <row r="3" spans="1:11">
      <c r="A3">
        <v>2</v>
      </c>
      <c r="B3">
        <v>166549179</v>
      </c>
      <c r="C3" t="s">
        <v>678</v>
      </c>
      <c r="D3" t="s">
        <v>678</v>
      </c>
      <c r="E3" s="8" t="s">
        <v>105</v>
      </c>
      <c r="F3" t="s">
        <v>272</v>
      </c>
      <c r="G3" t="s">
        <v>497</v>
      </c>
      <c r="H3" t="s">
        <v>1070</v>
      </c>
      <c r="I3" s="2">
        <v>42739</v>
      </c>
      <c r="J3" s="2">
        <v>45928</v>
      </c>
      <c r="K3" t="s">
        <v>507</v>
      </c>
    </row>
    <row r="4" spans="1:11">
      <c r="A4">
        <v>3</v>
      </c>
      <c r="B4">
        <v>166841923</v>
      </c>
      <c r="C4" t="s">
        <v>678</v>
      </c>
      <c r="D4" t="s">
        <v>678</v>
      </c>
      <c r="E4" s="8" t="s">
        <v>111</v>
      </c>
      <c r="F4" t="s">
        <v>272</v>
      </c>
      <c r="G4" t="s">
        <v>497</v>
      </c>
      <c r="H4" t="s">
        <v>1070</v>
      </c>
      <c r="I4" s="2">
        <v>42740</v>
      </c>
      <c r="J4" s="2">
        <v>45929</v>
      </c>
      <c r="K4" t="s">
        <v>507</v>
      </c>
    </row>
    <row r="5" spans="1:11">
      <c r="A5">
        <v>4</v>
      </c>
      <c r="B5">
        <v>166553421</v>
      </c>
      <c r="C5" t="s">
        <v>678</v>
      </c>
      <c r="D5" t="s">
        <v>678</v>
      </c>
      <c r="E5" s="8" t="s">
        <v>147</v>
      </c>
      <c r="F5" t="s">
        <v>272</v>
      </c>
      <c r="G5" t="s">
        <v>497</v>
      </c>
      <c r="H5" t="s">
        <v>1070</v>
      </c>
      <c r="I5" s="2">
        <v>42742</v>
      </c>
      <c r="J5" s="2">
        <v>45931</v>
      </c>
      <c r="K5" t="s">
        <v>507</v>
      </c>
    </row>
    <row r="6" spans="1:11">
      <c r="A6">
        <v>5</v>
      </c>
      <c r="B6">
        <v>166553433</v>
      </c>
      <c r="C6" t="s">
        <v>320</v>
      </c>
      <c r="D6" t="s">
        <v>320</v>
      </c>
      <c r="E6" s="8" t="s">
        <v>147</v>
      </c>
      <c r="F6" t="s">
        <v>272</v>
      </c>
      <c r="G6" t="s">
        <v>497</v>
      </c>
      <c r="H6" t="s">
        <v>1070</v>
      </c>
      <c r="I6" s="2">
        <v>42743</v>
      </c>
      <c r="J6" s="2">
        <v>45932</v>
      </c>
      <c r="K6" t="s">
        <v>507</v>
      </c>
    </row>
    <row r="7" spans="1:11">
      <c r="A7">
        <v>6</v>
      </c>
      <c r="B7">
        <v>166553437</v>
      </c>
      <c r="C7" t="s">
        <v>355</v>
      </c>
      <c r="D7" t="s">
        <v>363</v>
      </c>
      <c r="E7" s="8" t="s">
        <v>147</v>
      </c>
      <c r="F7" t="s">
        <v>272</v>
      </c>
      <c r="G7" t="s">
        <v>497</v>
      </c>
      <c r="H7" t="s">
        <v>1070</v>
      </c>
      <c r="I7" s="2">
        <v>42744</v>
      </c>
      <c r="J7" s="2">
        <v>45933</v>
      </c>
      <c r="K7" t="s">
        <v>507</v>
      </c>
    </row>
    <row r="8" spans="1:11">
      <c r="A8">
        <v>7</v>
      </c>
      <c r="B8">
        <v>143989350</v>
      </c>
      <c r="C8" t="s">
        <v>678</v>
      </c>
      <c r="D8" t="s">
        <v>678</v>
      </c>
      <c r="E8" s="8" t="s">
        <v>6</v>
      </c>
      <c r="F8" t="s">
        <v>272</v>
      </c>
      <c r="G8" t="s">
        <v>497</v>
      </c>
      <c r="H8" t="s">
        <v>1070</v>
      </c>
      <c r="I8" s="2">
        <v>42745</v>
      </c>
      <c r="J8" s="2">
        <v>45934</v>
      </c>
      <c r="K8" t="s">
        <v>507</v>
      </c>
    </row>
    <row r="9" spans="1:11">
      <c r="A9">
        <v>8</v>
      </c>
      <c r="B9">
        <v>161477230</v>
      </c>
      <c r="C9" t="s">
        <v>387</v>
      </c>
      <c r="D9" t="s">
        <v>1068</v>
      </c>
      <c r="E9" s="8" t="s">
        <v>6</v>
      </c>
      <c r="F9" t="s">
        <v>272</v>
      </c>
      <c r="G9" t="s">
        <v>497</v>
      </c>
      <c r="H9" t="s">
        <v>1070</v>
      </c>
      <c r="I9" s="2">
        <v>42746</v>
      </c>
      <c r="J9" s="2">
        <v>45935</v>
      </c>
      <c r="K9" t="s">
        <v>507</v>
      </c>
    </row>
    <row r="10" spans="1:11">
      <c r="A10">
        <v>9</v>
      </c>
      <c r="B10">
        <v>166841295</v>
      </c>
      <c r="C10" t="s">
        <v>320</v>
      </c>
      <c r="D10" t="s">
        <v>320</v>
      </c>
      <c r="E10" s="8" t="s">
        <v>34</v>
      </c>
      <c r="F10" t="s">
        <v>276</v>
      </c>
      <c r="G10" t="s">
        <v>504</v>
      </c>
      <c r="H10" t="s">
        <v>1070</v>
      </c>
      <c r="I10" s="2">
        <v>42747</v>
      </c>
      <c r="J10" s="2">
        <v>45936</v>
      </c>
      <c r="K10" t="s">
        <v>507</v>
      </c>
    </row>
    <row r="11" spans="1:11">
      <c r="A11">
        <v>10</v>
      </c>
      <c r="B11">
        <v>166552585</v>
      </c>
      <c r="C11" t="s">
        <v>357</v>
      </c>
      <c r="D11" t="s">
        <v>357</v>
      </c>
      <c r="E11" s="8" t="s">
        <v>756</v>
      </c>
      <c r="F11" t="s">
        <v>1108</v>
      </c>
      <c r="G11" t="s">
        <v>504</v>
      </c>
      <c r="H11" t="s">
        <v>1070</v>
      </c>
      <c r="I11" s="2">
        <v>42748</v>
      </c>
      <c r="J11" s="2">
        <v>44507</v>
      </c>
      <c r="K11" t="s">
        <v>507</v>
      </c>
    </row>
    <row r="12" spans="1:11">
      <c r="A12">
        <v>11</v>
      </c>
      <c r="B12">
        <v>166552637</v>
      </c>
      <c r="C12" t="s">
        <v>678</v>
      </c>
      <c r="D12" t="s">
        <v>678</v>
      </c>
      <c r="E12" s="8" t="s">
        <v>95</v>
      </c>
      <c r="F12" t="s">
        <v>273</v>
      </c>
      <c r="G12" t="s">
        <v>495</v>
      </c>
      <c r="H12" t="s">
        <v>1071</v>
      </c>
      <c r="I12" s="2">
        <v>42749</v>
      </c>
      <c r="J12" s="2">
        <v>44507</v>
      </c>
      <c r="K12" t="s">
        <v>507</v>
      </c>
    </row>
    <row r="13" spans="1:11">
      <c r="A13">
        <v>12</v>
      </c>
      <c r="B13">
        <v>166549187</v>
      </c>
      <c r="C13" t="s">
        <v>331</v>
      </c>
      <c r="D13" t="s">
        <v>363</v>
      </c>
      <c r="E13" s="8" t="s">
        <v>102</v>
      </c>
      <c r="F13" t="s">
        <v>272</v>
      </c>
      <c r="G13" t="s">
        <v>504</v>
      </c>
      <c r="H13" t="s">
        <v>1070</v>
      </c>
      <c r="I13" s="2">
        <v>42751</v>
      </c>
      <c r="J13" s="2">
        <v>44428</v>
      </c>
      <c r="K13" t="s">
        <v>507</v>
      </c>
    </row>
    <row r="14" spans="1:11">
      <c r="A14">
        <v>13</v>
      </c>
      <c r="B14">
        <v>166553377</v>
      </c>
      <c r="C14" t="s">
        <v>320</v>
      </c>
      <c r="D14" t="s">
        <v>320</v>
      </c>
      <c r="E14" s="8" t="s">
        <v>95</v>
      </c>
      <c r="F14" t="s">
        <v>273</v>
      </c>
      <c r="G14" t="s">
        <v>495</v>
      </c>
      <c r="H14" t="s">
        <v>1071</v>
      </c>
      <c r="I14" s="2">
        <v>42751</v>
      </c>
      <c r="J14" s="2">
        <v>44427</v>
      </c>
      <c r="K14" t="s">
        <v>507</v>
      </c>
    </row>
    <row r="15" spans="1:11">
      <c r="A15">
        <v>14</v>
      </c>
      <c r="B15">
        <v>166549181</v>
      </c>
      <c r="C15" t="s">
        <v>678</v>
      </c>
      <c r="D15" t="s">
        <v>678</v>
      </c>
      <c r="E15" s="8" t="s">
        <v>102</v>
      </c>
      <c r="F15" t="s">
        <v>272</v>
      </c>
      <c r="G15" t="s">
        <v>504</v>
      </c>
      <c r="H15" t="s">
        <v>1070</v>
      </c>
      <c r="I15" s="2">
        <v>42753</v>
      </c>
      <c r="J15" s="2">
        <v>44429</v>
      </c>
      <c r="K15" t="s">
        <v>507</v>
      </c>
    </row>
    <row r="16" spans="1:11">
      <c r="A16">
        <v>15</v>
      </c>
      <c r="B16">
        <v>166549189</v>
      </c>
      <c r="C16" t="s">
        <v>678</v>
      </c>
      <c r="D16" t="s">
        <v>678</v>
      </c>
      <c r="E16" s="8" t="s">
        <v>102</v>
      </c>
      <c r="F16" t="s">
        <v>272</v>
      </c>
      <c r="G16" t="s">
        <v>504</v>
      </c>
      <c r="H16" t="s">
        <v>1070</v>
      </c>
      <c r="I16" s="2">
        <v>42874</v>
      </c>
      <c r="J16" s="2">
        <v>44430</v>
      </c>
      <c r="K16" t="s">
        <v>507</v>
      </c>
    </row>
    <row r="17" spans="1:11">
      <c r="A17">
        <v>16</v>
      </c>
      <c r="B17">
        <v>168100208</v>
      </c>
      <c r="C17" t="s">
        <v>933</v>
      </c>
      <c r="D17" t="s">
        <v>401</v>
      </c>
      <c r="E17" s="8" t="s">
        <v>132</v>
      </c>
      <c r="F17" t="s">
        <v>1108</v>
      </c>
      <c r="G17" t="s">
        <v>504</v>
      </c>
      <c r="H17" t="s">
        <v>1070</v>
      </c>
      <c r="I17" s="2">
        <v>42875</v>
      </c>
      <c r="J17" s="2">
        <v>44431</v>
      </c>
      <c r="K17" t="s">
        <v>507</v>
      </c>
    </row>
    <row r="18" spans="1:11">
      <c r="A18">
        <v>17</v>
      </c>
      <c r="B18">
        <v>166549969</v>
      </c>
      <c r="C18" t="s">
        <v>482</v>
      </c>
      <c r="D18" t="s">
        <v>1068</v>
      </c>
      <c r="E18" s="8" t="s">
        <v>726</v>
      </c>
      <c r="F18" t="s">
        <v>1108</v>
      </c>
      <c r="G18" t="s">
        <v>504</v>
      </c>
      <c r="H18" t="s">
        <v>1070</v>
      </c>
      <c r="I18" s="2">
        <v>42876</v>
      </c>
      <c r="J18" s="2">
        <v>44432</v>
      </c>
      <c r="K18" t="s">
        <v>507</v>
      </c>
    </row>
    <row r="19" spans="1:11">
      <c r="A19">
        <v>18</v>
      </c>
      <c r="B19">
        <v>168099452</v>
      </c>
      <c r="D19" t="s">
        <v>1108</v>
      </c>
      <c r="E19" s="8" t="s">
        <v>207</v>
      </c>
      <c r="F19" t="s">
        <v>273</v>
      </c>
      <c r="G19" t="s">
        <v>504</v>
      </c>
      <c r="H19" t="s">
        <v>1070</v>
      </c>
      <c r="I19" s="2">
        <v>42877</v>
      </c>
      <c r="J19" s="2">
        <v>44433</v>
      </c>
      <c r="K19" t="s">
        <v>507</v>
      </c>
    </row>
    <row r="20" spans="1:11">
      <c r="A20">
        <v>19</v>
      </c>
      <c r="B20">
        <v>169597069</v>
      </c>
      <c r="C20" t="s">
        <v>357</v>
      </c>
      <c r="D20" t="s">
        <v>357</v>
      </c>
      <c r="E20" s="8" t="s">
        <v>233</v>
      </c>
      <c r="F20" t="s">
        <v>272</v>
      </c>
      <c r="G20" t="s">
        <v>504</v>
      </c>
      <c r="H20" t="s">
        <v>1070</v>
      </c>
      <c r="I20" s="2">
        <v>42878</v>
      </c>
      <c r="J20" s="2">
        <v>44434</v>
      </c>
      <c r="K20" t="s">
        <v>507</v>
      </c>
    </row>
    <row r="21" spans="1:11">
      <c r="A21">
        <v>20</v>
      </c>
      <c r="B21">
        <v>169596508</v>
      </c>
      <c r="C21" t="s">
        <v>953</v>
      </c>
      <c r="D21" t="s">
        <v>1042</v>
      </c>
      <c r="E21" s="8" t="s">
        <v>233</v>
      </c>
      <c r="F21" t="s">
        <v>272</v>
      </c>
      <c r="G21" t="s">
        <v>493</v>
      </c>
      <c r="H21" t="s">
        <v>1070</v>
      </c>
      <c r="I21" s="2">
        <v>42879</v>
      </c>
      <c r="J21" s="2">
        <v>44437</v>
      </c>
      <c r="K21" t="s">
        <v>507</v>
      </c>
    </row>
    <row r="22" spans="1:11">
      <c r="A22">
        <v>21</v>
      </c>
      <c r="B22">
        <v>169597114</v>
      </c>
      <c r="C22" t="s">
        <v>306</v>
      </c>
      <c r="D22" t="s">
        <v>306</v>
      </c>
      <c r="E22" s="8" t="s">
        <v>233</v>
      </c>
      <c r="F22" t="s">
        <v>272</v>
      </c>
      <c r="G22" t="s">
        <v>493</v>
      </c>
      <c r="H22" t="s">
        <v>1070</v>
      </c>
      <c r="I22" s="2">
        <v>42879</v>
      </c>
      <c r="J22" s="2">
        <v>44438</v>
      </c>
      <c r="K22" t="s">
        <v>507</v>
      </c>
    </row>
    <row r="23" spans="1:11">
      <c r="A23">
        <v>22</v>
      </c>
      <c r="B23">
        <v>169597189</v>
      </c>
      <c r="C23" t="s">
        <v>320</v>
      </c>
      <c r="D23" t="s">
        <v>320</v>
      </c>
      <c r="E23" s="8" t="s">
        <v>233</v>
      </c>
      <c r="F23" t="s">
        <v>272</v>
      </c>
      <c r="G23" t="s">
        <v>504</v>
      </c>
      <c r="H23" t="s">
        <v>1070</v>
      </c>
      <c r="I23" s="2">
        <v>42879</v>
      </c>
      <c r="J23" s="2">
        <v>44435</v>
      </c>
      <c r="K23" t="s">
        <v>507</v>
      </c>
    </row>
    <row r="24" spans="1:11">
      <c r="A24">
        <v>23</v>
      </c>
      <c r="B24">
        <v>169597204</v>
      </c>
      <c r="C24" t="s">
        <v>320</v>
      </c>
      <c r="D24" t="s">
        <v>320</v>
      </c>
      <c r="E24" s="8" t="s">
        <v>233</v>
      </c>
      <c r="F24" t="s">
        <v>272</v>
      </c>
      <c r="G24" t="s">
        <v>493</v>
      </c>
      <c r="H24" t="s">
        <v>1070</v>
      </c>
      <c r="I24" s="2">
        <v>43006</v>
      </c>
      <c r="J24" s="2">
        <v>44439</v>
      </c>
      <c r="K24" t="s">
        <v>507</v>
      </c>
    </row>
    <row r="25" spans="1:11">
      <c r="A25">
        <v>24</v>
      </c>
      <c r="B25">
        <v>169597213</v>
      </c>
      <c r="C25" t="s">
        <v>357</v>
      </c>
      <c r="D25" t="s">
        <v>357</v>
      </c>
      <c r="E25" s="8" t="s">
        <v>271</v>
      </c>
      <c r="F25" t="s">
        <v>272</v>
      </c>
      <c r="G25" t="s">
        <v>493</v>
      </c>
      <c r="H25" t="s">
        <v>1070</v>
      </c>
      <c r="I25" s="2">
        <v>43007</v>
      </c>
      <c r="J25" s="2">
        <v>44440</v>
      </c>
      <c r="K25" t="s">
        <v>507</v>
      </c>
    </row>
    <row r="26" spans="1:11">
      <c r="A26">
        <v>25</v>
      </c>
      <c r="B26">
        <v>166551661</v>
      </c>
      <c r="C26" t="s">
        <v>357</v>
      </c>
      <c r="D26" t="s">
        <v>357</v>
      </c>
      <c r="E26" s="8"/>
      <c r="F26" t="s">
        <v>272</v>
      </c>
      <c r="G26" t="s">
        <v>493</v>
      </c>
      <c r="H26" t="s">
        <v>1070</v>
      </c>
      <c r="I26" s="2">
        <v>43008</v>
      </c>
      <c r="J26" s="2">
        <v>44441</v>
      </c>
      <c r="K26" t="s">
        <v>507</v>
      </c>
    </row>
    <row r="27" spans="1:11">
      <c r="A27">
        <v>26</v>
      </c>
      <c r="B27">
        <v>166551663</v>
      </c>
      <c r="C27" t="s">
        <v>357</v>
      </c>
      <c r="D27" t="s">
        <v>357</v>
      </c>
      <c r="E27" s="8" t="s">
        <v>271</v>
      </c>
      <c r="F27" t="s">
        <v>272</v>
      </c>
      <c r="G27" t="s">
        <v>493</v>
      </c>
      <c r="H27" t="s">
        <v>1070</v>
      </c>
      <c r="I27" s="2">
        <v>43009</v>
      </c>
      <c r="J27" s="2">
        <v>44442</v>
      </c>
      <c r="K27" t="s">
        <v>482</v>
      </c>
    </row>
    <row r="28" spans="1:11">
      <c r="A28">
        <v>27</v>
      </c>
      <c r="B28">
        <v>143035126</v>
      </c>
      <c r="C28" t="s">
        <v>357</v>
      </c>
      <c r="D28" t="s">
        <v>357</v>
      </c>
      <c r="E28" s="8" t="s">
        <v>271</v>
      </c>
      <c r="F28" t="s">
        <v>272</v>
      </c>
      <c r="G28" t="s">
        <v>493</v>
      </c>
      <c r="H28" t="s">
        <v>1070</v>
      </c>
      <c r="I28" s="2">
        <v>43010</v>
      </c>
      <c r="J28" s="2">
        <v>44443</v>
      </c>
      <c r="K28" t="s">
        <v>482</v>
      </c>
    </row>
    <row r="29" spans="1:11">
      <c r="A29">
        <v>28</v>
      </c>
      <c r="B29">
        <v>166551657</v>
      </c>
      <c r="C29" t="s">
        <v>949</v>
      </c>
      <c r="D29" t="s">
        <v>1068</v>
      </c>
      <c r="E29" s="8" t="s">
        <v>757</v>
      </c>
      <c r="F29" t="s">
        <v>272</v>
      </c>
      <c r="G29" t="s">
        <v>493</v>
      </c>
      <c r="H29" t="s">
        <v>1070</v>
      </c>
      <c r="I29" s="2">
        <v>43011</v>
      </c>
      <c r="J29" s="2">
        <v>44444</v>
      </c>
      <c r="K29" t="s">
        <v>482</v>
      </c>
    </row>
    <row r="30" spans="1:11">
      <c r="A30">
        <v>29</v>
      </c>
      <c r="B30">
        <v>166549245</v>
      </c>
      <c r="C30" t="s">
        <v>320</v>
      </c>
      <c r="D30" t="s">
        <v>320</v>
      </c>
      <c r="E30" s="8" t="s">
        <v>452</v>
      </c>
      <c r="F30" t="s">
        <v>274</v>
      </c>
      <c r="G30" t="s">
        <v>493</v>
      </c>
      <c r="H30" t="s">
        <v>1070</v>
      </c>
      <c r="I30" s="2">
        <v>43012</v>
      </c>
      <c r="J30" s="2">
        <v>44445</v>
      </c>
      <c r="K30" t="s">
        <v>482</v>
      </c>
    </row>
    <row r="31" spans="1:11">
      <c r="A31">
        <v>30</v>
      </c>
      <c r="B31">
        <v>170207278</v>
      </c>
      <c r="C31" t="s">
        <v>320</v>
      </c>
      <c r="D31" t="s">
        <v>320</v>
      </c>
      <c r="E31" s="8" t="s">
        <v>112</v>
      </c>
      <c r="F31" t="s">
        <v>275</v>
      </c>
      <c r="G31" t="s">
        <v>502</v>
      </c>
      <c r="H31" t="s">
        <v>1070</v>
      </c>
      <c r="I31" s="2">
        <v>43013</v>
      </c>
      <c r="J31" s="2">
        <v>44446</v>
      </c>
      <c r="K31" t="s">
        <v>482</v>
      </c>
    </row>
    <row r="32" spans="1:11">
      <c r="A32">
        <v>31</v>
      </c>
      <c r="B32">
        <v>167222352</v>
      </c>
      <c r="C32" t="s">
        <v>356</v>
      </c>
      <c r="D32" t="s">
        <v>1068</v>
      </c>
      <c r="E32" s="8" t="s">
        <v>459</v>
      </c>
      <c r="F32" t="s">
        <v>273</v>
      </c>
      <c r="G32" t="s">
        <v>502</v>
      </c>
      <c r="H32" t="s">
        <v>1070</v>
      </c>
      <c r="I32" s="2">
        <v>43014</v>
      </c>
      <c r="J32" s="2">
        <v>44447</v>
      </c>
      <c r="K32" t="s">
        <v>482</v>
      </c>
    </row>
    <row r="33" spans="1:11">
      <c r="A33">
        <v>32</v>
      </c>
      <c r="B33">
        <v>166549201</v>
      </c>
      <c r="C33" t="s">
        <v>320</v>
      </c>
      <c r="D33" t="s">
        <v>320</v>
      </c>
      <c r="E33" s="8" t="s">
        <v>174</v>
      </c>
      <c r="F33" t="s">
        <v>1108</v>
      </c>
      <c r="G33" t="s">
        <v>492</v>
      </c>
      <c r="H33" t="s">
        <v>1070</v>
      </c>
      <c r="I33" s="2">
        <v>43244</v>
      </c>
      <c r="J33" s="2">
        <v>44465</v>
      </c>
      <c r="K33" t="s">
        <v>482</v>
      </c>
    </row>
    <row r="34" spans="1:11">
      <c r="A34">
        <v>33</v>
      </c>
      <c r="B34">
        <v>166843391</v>
      </c>
      <c r="C34" t="s">
        <v>317</v>
      </c>
      <c r="D34" t="s">
        <v>346</v>
      </c>
      <c r="E34" s="8" t="s">
        <v>190</v>
      </c>
      <c r="F34" t="s">
        <v>272</v>
      </c>
      <c r="G34" t="s">
        <v>492</v>
      </c>
      <c r="H34" t="s">
        <v>1070</v>
      </c>
      <c r="I34" s="2">
        <v>43245</v>
      </c>
      <c r="J34" s="2">
        <v>44466</v>
      </c>
      <c r="K34" t="s">
        <v>482</v>
      </c>
    </row>
    <row r="35" spans="1:11">
      <c r="A35">
        <v>34</v>
      </c>
      <c r="B35">
        <v>166843387</v>
      </c>
      <c r="C35" t="s">
        <v>372</v>
      </c>
      <c r="D35" t="s">
        <v>401</v>
      </c>
      <c r="E35" s="8" t="s">
        <v>191</v>
      </c>
      <c r="F35" t="s">
        <v>272</v>
      </c>
      <c r="G35" t="s">
        <v>492</v>
      </c>
      <c r="H35" t="s">
        <v>1070</v>
      </c>
      <c r="I35" s="2">
        <v>43246</v>
      </c>
      <c r="J35" s="2">
        <v>44467</v>
      </c>
      <c r="K35" t="s">
        <v>482</v>
      </c>
    </row>
    <row r="36" spans="1:11">
      <c r="A36">
        <v>35</v>
      </c>
      <c r="B36">
        <v>166843399</v>
      </c>
      <c r="C36" t="s">
        <v>678</v>
      </c>
      <c r="D36" t="s">
        <v>678</v>
      </c>
      <c r="E36" s="8" t="s">
        <v>191</v>
      </c>
      <c r="F36" t="s">
        <v>272</v>
      </c>
      <c r="G36" t="s">
        <v>492</v>
      </c>
      <c r="H36" t="s">
        <v>1070</v>
      </c>
      <c r="I36" s="2">
        <v>43247</v>
      </c>
      <c r="J36" s="2">
        <v>44468</v>
      </c>
      <c r="K36" t="s">
        <v>482</v>
      </c>
    </row>
    <row r="37" spans="1:11">
      <c r="A37">
        <v>36</v>
      </c>
      <c r="B37">
        <v>166549983</v>
      </c>
      <c r="C37" t="s">
        <v>915</v>
      </c>
      <c r="D37" t="s">
        <v>1042</v>
      </c>
      <c r="E37" s="8" t="s">
        <v>198</v>
      </c>
      <c r="F37" t="s">
        <v>272</v>
      </c>
      <c r="G37" t="s">
        <v>492</v>
      </c>
      <c r="H37" t="s">
        <v>1070</v>
      </c>
      <c r="I37" s="2">
        <v>43248</v>
      </c>
      <c r="J37" s="2">
        <v>44469</v>
      </c>
      <c r="K37" t="s">
        <v>482</v>
      </c>
    </row>
    <row r="38" spans="1:11">
      <c r="A38">
        <v>37</v>
      </c>
      <c r="B38">
        <v>169597093</v>
      </c>
      <c r="C38" t="s">
        <v>395</v>
      </c>
      <c r="D38" t="s">
        <v>401</v>
      </c>
      <c r="E38" s="8" t="s">
        <v>776</v>
      </c>
      <c r="F38" t="s">
        <v>272</v>
      </c>
      <c r="G38" t="s">
        <v>492</v>
      </c>
      <c r="H38" t="s">
        <v>1070</v>
      </c>
      <c r="I38" s="2">
        <v>43249</v>
      </c>
      <c r="J38" s="2">
        <v>44470</v>
      </c>
      <c r="K38" t="s">
        <v>482</v>
      </c>
    </row>
    <row r="39" spans="1:11">
      <c r="A39">
        <v>38</v>
      </c>
      <c r="B39">
        <v>166549203</v>
      </c>
      <c r="C39" t="s">
        <v>320</v>
      </c>
      <c r="D39" t="s">
        <v>320</v>
      </c>
      <c r="E39" s="8" t="s">
        <v>727</v>
      </c>
      <c r="F39" t="s">
        <v>281</v>
      </c>
      <c r="G39" t="s">
        <v>501</v>
      </c>
      <c r="H39" t="s">
        <v>1072</v>
      </c>
      <c r="I39" s="2">
        <v>43251</v>
      </c>
      <c r="J39" s="2">
        <v>44472</v>
      </c>
      <c r="K39" t="s">
        <v>482</v>
      </c>
    </row>
    <row r="40" spans="1:11">
      <c r="A40">
        <v>39</v>
      </c>
      <c r="B40">
        <v>166842809</v>
      </c>
      <c r="C40" t="s">
        <v>320</v>
      </c>
      <c r="D40" t="s">
        <v>320</v>
      </c>
      <c r="E40" s="8" t="s">
        <v>56</v>
      </c>
      <c r="F40" t="s">
        <v>272</v>
      </c>
      <c r="G40" t="s">
        <v>498</v>
      </c>
      <c r="H40" t="s">
        <v>1070</v>
      </c>
      <c r="I40" s="2">
        <v>43253</v>
      </c>
      <c r="J40" s="2">
        <v>44474</v>
      </c>
      <c r="K40" t="s">
        <v>482</v>
      </c>
    </row>
    <row r="41" spans="1:11">
      <c r="A41">
        <v>40</v>
      </c>
      <c r="B41">
        <v>166551359</v>
      </c>
      <c r="C41" t="s">
        <v>946</v>
      </c>
      <c r="D41" t="s">
        <v>346</v>
      </c>
      <c r="E41" s="8" t="s">
        <v>56</v>
      </c>
      <c r="F41" t="s">
        <v>272</v>
      </c>
      <c r="G41" t="s">
        <v>498</v>
      </c>
      <c r="H41" t="s">
        <v>1070</v>
      </c>
      <c r="I41" s="2">
        <v>43254</v>
      </c>
      <c r="J41" s="2">
        <v>44475</v>
      </c>
      <c r="K41" t="s">
        <v>482</v>
      </c>
    </row>
    <row r="42" spans="1:11">
      <c r="A42">
        <v>41</v>
      </c>
      <c r="B42">
        <v>157994656</v>
      </c>
      <c r="C42" t="s">
        <v>305</v>
      </c>
      <c r="D42" t="s">
        <v>1042</v>
      </c>
      <c r="E42" s="8" t="s">
        <v>56</v>
      </c>
      <c r="F42" t="s">
        <v>272</v>
      </c>
      <c r="G42" t="s">
        <v>498</v>
      </c>
      <c r="H42" t="s">
        <v>1070</v>
      </c>
      <c r="I42" s="2">
        <v>43255</v>
      </c>
      <c r="J42" s="2">
        <v>44476</v>
      </c>
      <c r="K42" t="s">
        <v>482</v>
      </c>
    </row>
    <row r="43" spans="1:11">
      <c r="A43">
        <v>42</v>
      </c>
      <c r="B43">
        <v>165389240</v>
      </c>
      <c r="D43" t="s">
        <v>1108</v>
      </c>
      <c r="E43" s="8" t="s">
        <v>56</v>
      </c>
      <c r="F43" t="s">
        <v>272</v>
      </c>
      <c r="G43" t="s">
        <v>498</v>
      </c>
      <c r="H43" t="s">
        <v>1070</v>
      </c>
      <c r="I43" s="2">
        <v>43256</v>
      </c>
      <c r="J43" s="2">
        <v>44477</v>
      </c>
      <c r="K43" t="s">
        <v>482</v>
      </c>
    </row>
    <row r="44" spans="1:11">
      <c r="A44">
        <v>43</v>
      </c>
      <c r="B44">
        <v>166549195</v>
      </c>
      <c r="C44" t="s">
        <v>678</v>
      </c>
      <c r="D44" t="s">
        <v>678</v>
      </c>
      <c r="E44" s="8" t="s">
        <v>728</v>
      </c>
      <c r="F44" t="s">
        <v>1108</v>
      </c>
      <c r="G44" t="s">
        <v>501</v>
      </c>
      <c r="H44" t="s">
        <v>1072</v>
      </c>
      <c r="I44" s="2">
        <v>43256</v>
      </c>
      <c r="J44" s="2">
        <v>44471</v>
      </c>
      <c r="K44" t="s">
        <v>482</v>
      </c>
    </row>
    <row r="45" spans="1:11">
      <c r="A45">
        <v>44</v>
      </c>
      <c r="B45">
        <v>166842321</v>
      </c>
      <c r="C45" t="s">
        <v>320</v>
      </c>
      <c r="D45" t="s">
        <v>320</v>
      </c>
      <c r="E45" s="8" t="s">
        <v>176</v>
      </c>
      <c r="F45" t="s">
        <v>1108</v>
      </c>
      <c r="G45" t="s">
        <v>501</v>
      </c>
      <c r="H45" t="s">
        <v>1072</v>
      </c>
      <c r="I45" s="2">
        <v>43256</v>
      </c>
      <c r="J45" s="2">
        <v>44473</v>
      </c>
      <c r="K45" t="s">
        <v>482</v>
      </c>
    </row>
    <row r="46" spans="1:11">
      <c r="A46">
        <v>45</v>
      </c>
      <c r="B46">
        <v>157994142</v>
      </c>
      <c r="C46" t="s">
        <v>379</v>
      </c>
      <c r="D46" t="s">
        <v>363</v>
      </c>
      <c r="E46" s="8" t="s">
        <v>203</v>
      </c>
      <c r="F46" t="s">
        <v>274</v>
      </c>
      <c r="G46" t="s">
        <v>1044</v>
      </c>
      <c r="H46" t="s">
        <v>1070</v>
      </c>
      <c r="I46" s="2">
        <v>43257</v>
      </c>
      <c r="J46" s="2">
        <v>44483</v>
      </c>
      <c r="K46" t="s">
        <v>482</v>
      </c>
    </row>
    <row r="47" spans="1:11">
      <c r="A47">
        <v>46</v>
      </c>
      <c r="B47">
        <v>165389244</v>
      </c>
      <c r="D47" t="s">
        <v>1108</v>
      </c>
      <c r="E47" s="8" t="s">
        <v>56</v>
      </c>
      <c r="F47" t="s">
        <v>272</v>
      </c>
      <c r="G47" t="s">
        <v>498</v>
      </c>
      <c r="H47" t="s">
        <v>1070</v>
      </c>
      <c r="I47" s="2">
        <v>43257</v>
      </c>
      <c r="J47" s="2">
        <v>44478</v>
      </c>
      <c r="K47" t="s">
        <v>482</v>
      </c>
    </row>
    <row r="48" spans="1:11">
      <c r="A48">
        <v>47</v>
      </c>
      <c r="B48">
        <v>166552539</v>
      </c>
      <c r="C48" t="s">
        <v>293</v>
      </c>
      <c r="D48" t="s">
        <v>363</v>
      </c>
      <c r="E48" s="8" t="s">
        <v>24</v>
      </c>
      <c r="F48" t="s">
        <v>272</v>
      </c>
      <c r="G48" t="s">
        <v>1044</v>
      </c>
      <c r="H48" t="s">
        <v>1070</v>
      </c>
      <c r="I48" s="2">
        <v>43257</v>
      </c>
      <c r="J48" s="2">
        <v>44480</v>
      </c>
      <c r="K48" t="s">
        <v>482</v>
      </c>
    </row>
    <row r="49" spans="1:11">
      <c r="A49">
        <v>48</v>
      </c>
      <c r="B49">
        <v>166552547</v>
      </c>
      <c r="C49" t="s">
        <v>294</v>
      </c>
      <c r="D49" t="s">
        <v>363</v>
      </c>
      <c r="E49" s="8" t="s">
        <v>24</v>
      </c>
      <c r="F49" t="s">
        <v>272</v>
      </c>
      <c r="G49" t="s">
        <v>1044</v>
      </c>
      <c r="H49" t="s">
        <v>1070</v>
      </c>
      <c r="I49" s="2">
        <v>43257</v>
      </c>
      <c r="J49" s="2">
        <v>44481</v>
      </c>
      <c r="K49" t="s">
        <v>482</v>
      </c>
    </row>
    <row r="50" spans="1:11">
      <c r="A50">
        <v>49</v>
      </c>
      <c r="B50">
        <v>166553373</v>
      </c>
      <c r="C50" t="s">
        <v>319</v>
      </c>
      <c r="D50" t="s">
        <v>1068</v>
      </c>
      <c r="E50" s="8" t="s">
        <v>85</v>
      </c>
      <c r="F50" t="s">
        <v>279</v>
      </c>
      <c r="G50" t="s">
        <v>498</v>
      </c>
      <c r="H50" t="s">
        <v>1070</v>
      </c>
      <c r="I50" s="2">
        <v>43257</v>
      </c>
      <c r="J50" s="2">
        <v>44479</v>
      </c>
      <c r="K50" t="s">
        <v>482</v>
      </c>
    </row>
    <row r="51" spans="1:11">
      <c r="A51">
        <v>50</v>
      </c>
      <c r="B51">
        <v>166554229</v>
      </c>
      <c r="C51" t="s">
        <v>303</v>
      </c>
      <c r="D51" t="s">
        <v>303</v>
      </c>
      <c r="E51" s="8" t="s">
        <v>24</v>
      </c>
      <c r="F51" t="s">
        <v>272</v>
      </c>
      <c r="G51" t="s">
        <v>1044</v>
      </c>
      <c r="H51" t="s">
        <v>1070</v>
      </c>
      <c r="I51" s="2">
        <v>43257</v>
      </c>
      <c r="J51" s="2">
        <v>44482</v>
      </c>
      <c r="K51" t="s">
        <v>482</v>
      </c>
    </row>
    <row r="52" spans="1:11">
      <c r="A52">
        <v>51</v>
      </c>
      <c r="B52">
        <v>169597249</v>
      </c>
      <c r="C52" t="s">
        <v>678</v>
      </c>
      <c r="D52" t="s">
        <v>678</v>
      </c>
      <c r="E52" s="8" t="s">
        <v>242</v>
      </c>
      <c r="F52" t="s">
        <v>274</v>
      </c>
      <c r="G52" t="s">
        <v>1044</v>
      </c>
      <c r="H52" t="s">
        <v>1070</v>
      </c>
      <c r="I52" s="2">
        <v>43258</v>
      </c>
      <c r="J52" s="2">
        <v>44484</v>
      </c>
      <c r="K52" t="s">
        <v>482</v>
      </c>
    </row>
    <row r="53" spans="1:11">
      <c r="A53">
        <v>52</v>
      </c>
      <c r="B53">
        <v>166554225</v>
      </c>
      <c r="C53" t="s">
        <v>320</v>
      </c>
      <c r="D53" t="s">
        <v>320</v>
      </c>
      <c r="E53" s="8" t="s">
        <v>26</v>
      </c>
      <c r="F53" t="s">
        <v>272</v>
      </c>
      <c r="G53" t="s">
        <v>493</v>
      </c>
      <c r="H53" t="s">
        <v>1070</v>
      </c>
      <c r="I53" s="2">
        <v>43259</v>
      </c>
      <c r="J53" s="2">
        <v>44485</v>
      </c>
      <c r="K53" t="s">
        <v>482</v>
      </c>
    </row>
    <row r="54" spans="1:11">
      <c r="A54">
        <v>53</v>
      </c>
      <c r="B54">
        <v>166549191</v>
      </c>
      <c r="D54" t="s">
        <v>1108</v>
      </c>
      <c r="E54" s="8" t="s">
        <v>103</v>
      </c>
      <c r="F54" t="s">
        <v>1108</v>
      </c>
      <c r="G54" t="s">
        <v>493</v>
      </c>
      <c r="H54" t="s">
        <v>1070</v>
      </c>
      <c r="I54" s="2">
        <v>43261</v>
      </c>
      <c r="J54" s="2">
        <v>44487</v>
      </c>
      <c r="K54" t="s">
        <v>482</v>
      </c>
    </row>
    <row r="55" spans="1:11">
      <c r="A55">
        <v>54</v>
      </c>
      <c r="B55">
        <v>166842311</v>
      </c>
      <c r="C55" t="s">
        <v>357</v>
      </c>
      <c r="D55" t="s">
        <v>357</v>
      </c>
      <c r="E55" s="8" t="s">
        <v>177</v>
      </c>
      <c r="F55" t="s">
        <v>1108</v>
      </c>
      <c r="G55" t="s">
        <v>493</v>
      </c>
      <c r="H55" t="s">
        <v>1070</v>
      </c>
      <c r="I55" s="2">
        <v>43262</v>
      </c>
      <c r="J55" s="2">
        <v>44488</v>
      </c>
      <c r="K55" t="s">
        <v>482</v>
      </c>
    </row>
    <row r="56" spans="1:11">
      <c r="A56">
        <v>55</v>
      </c>
      <c r="B56">
        <v>166843397</v>
      </c>
      <c r="C56" t="s">
        <v>678</v>
      </c>
      <c r="D56" t="s">
        <v>678</v>
      </c>
      <c r="E56" s="8" t="s">
        <v>729</v>
      </c>
      <c r="F56" t="s">
        <v>272</v>
      </c>
      <c r="G56" t="s">
        <v>493</v>
      </c>
      <c r="H56" t="s">
        <v>1070</v>
      </c>
      <c r="I56" s="2">
        <v>43263</v>
      </c>
      <c r="J56" s="2">
        <v>44489</v>
      </c>
      <c r="K56" t="s">
        <v>482</v>
      </c>
    </row>
    <row r="57" spans="1:11">
      <c r="A57">
        <v>56</v>
      </c>
      <c r="B57">
        <v>170959672</v>
      </c>
      <c r="C57" t="s">
        <v>678</v>
      </c>
      <c r="D57" t="s">
        <v>678</v>
      </c>
      <c r="E57" s="8" t="s">
        <v>204</v>
      </c>
      <c r="F57" t="s">
        <v>272</v>
      </c>
      <c r="G57" t="s">
        <v>493</v>
      </c>
      <c r="H57" t="s">
        <v>1070</v>
      </c>
      <c r="I57" s="2">
        <v>43264</v>
      </c>
      <c r="J57" s="2">
        <v>44490</v>
      </c>
      <c r="K57" t="s">
        <v>482</v>
      </c>
    </row>
    <row r="58" spans="1:11">
      <c r="A58">
        <v>57</v>
      </c>
      <c r="B58">
        <v>169597369</v>
      </c>
      <c r="C58" t="s">
        <v>405</v>
      </c>
      <c r="D58" t="s">
        <v>1068</v>
      </c>
      <c r="E58" s="8" t="s">
        <v>269</v>
      </c>
      <c r="F58" t="s">
        <v>272</v>
      </c>
      <c r="G58" t="s">
        <v>493</v>
      </c>
      <c r="H58" t="s">
        <v>1070</v>
      </c>
      <c r="I58" s="2">
        <v>43265</v>
      </c>
      <c r="J58" s="2">
        <v>44491</v>
      </c>
      <c r="K58" t="s">
        <v>482</v>
      </c>
    </row>
    <row r="59" spans="1:11">
      <c r="A59">
        <v>58</v>
      </c>
      <c r="B59">
        <v>169597210</v>
      </c>
      <c r="C59" t="s">
        <v>320</v>
      </c>
      <c r="D59" t="s">
        <v>320</v>
      </c>
      <c r="E59" s="8" t="s">
        <v>231</v>
      </c>
      <c r="F59" t="s">
        <v>279</v>
      </c>
      <c r="G59" t="s">
        <v>502</v>
      </c>
      <c r="H59" t="s">
        <v>1070</v>
      </c>
      <c r="I59" s="2">
        <v>43411</v>
      </c>
      <c r="J59" s="2">
        <v>45544</v>
      </c>
      <c r="K59" t="s">
        <v>482</v>
      </c>
    </row>
    <row r="60" spans="1:11">
      <c r="A60">
        <v>59</v>
      </c>
      <c r="B60">
        <v>166553425</v>
      </c>
      <c r="C60" t="s">
        <v>678</v>
      </c>
      <c r="D60" t="s">
        <v>678</v>
      </c>
      <c r="E60" s="8" t="s">
        <v>730</v>
      </c>
      <c r="F60" t="s">
        <v>1108</v>
      </c>
      <c r="G60" t="s">
        <v>499</v>
      </c>
      <c r="H60" t="s">
        <v>1070</v>
      </c>
      <c r="I60" s="2">
        <v>43412</v>
      </c>
      <c r="J60" s="2">
        <v>45545</v>
      </c>
      <c r="K60" t="s">
        <v>482</v>
      </c>
    </row>
    <row r="61" spans="1:11">
      <c r="A61">
        <v>60</v>
      </c>
      <c r="B61">
        <v>143026302</v>
      </c>
      <c r="C61" t="s">
        <v>289</v>
      </c>
      <c r="D61" t="s">
        <v>1042</v>
      </c>
      <c r="E61" s="8" t="s">
        <v>15</v>
      </c>
      <c r="F61" t="s">
        <v>1108</v>
      </c>
      <c r="G61" t="s">
        <v>492</v>
      </c>
      <c r="H61" t="s">
        <v>1070</v>
      </c>
      <c r="I61" s="2">
        <v>43413</v>
      </c>
      <c r="J61" s="2">
        <v>45546</v>
      </c>
      <c r="K61" t="s">
        <v>482</v>
      </c>
    </row>
    <row r="62" spans="1:11">
      <c r="A62">
        <v>61</v>
      </c>
      <c r="B62">
        <v>148461426</v>
      </c>
      <c r="C62" t="s">
        <v>320</v>
      </c>
      <c r="D62" t="s">
        <v>320</v>
      </c>
      <c r="E62" s="8" t="s">
        <v>201</v>
      </c>
      <c r="F62" t="s">
        <v>272</v>
      </c>
      <c r="G62" t="s">
        <v>499</v>
      </c>
      <c r="H62" t="s">
        <v>1070</v>
      </c>
      <c r="I62" s="2">
        <v>43413</v>
      </c>
      <c r="J62" s="2">
        <v>45547</v>
      </c>
      <c r="K62" t="s">
        <v>482</v>
      </c>
    </row>
    <row r="63" spans="1:11">
      <c r="A63">
        <v>62</v>
      </c>
      <c r="B63">
        <v>166553399</v>
      </c>
      <c r="C63" t="s">
        <v>357</v>
      </c>
      <c r="D63" t="s">
        <v>357</v>
      </c>
      <c r="E63" s="8" t="s">
        <v>75</v>
      </c>
      <c r="F63" t="s">
        <v>272</v>
      </c>
      <c r="G63" t="s">
        <v>499</v>
      </c>
      <c r="H63" t="s">
        <v>1070</v>
      </c>
      <c r="I63" s="2">
        <v>43414</v>
      </c>
      <c r="J63" s="2">
        <v>45548</v>
      </c>
      <c r="K63" t="s">
        <v>482</v>
      </c>
    </row>
    <row r="64" spans="1:11">
      <c r="A64">
        <v>63</v>
      </c>
      <c r="B64">
        <v>166841921</v>
      </c>
      <c r="C64" t="s">
        <v>927</v>
      </c>
      <c r="D64" t="s">
        <v>1041</v>
      </c>
      <c r="E64" s="8" t="s">
        <v>108</v>
      </c>
      <c r="F64" t="s">
        <v>274</v>
      </c>
      <c r="G64" t="s">
        <v>499</v>
      </c>
      <c r="H64" t="s">
        <v>1070</v>
      </c>
      <c r="I64" s="2">
        <v>43415</v>
      </c>
      <c r="J64" s="2">
        <v>45549</v>
      </c>
      <c r="K64" t="s">
        <v>482</v>
      </c>
    </row>
    <row r="65" spans="1:11">
      <c r="A65">
        <v>64</v>
      </c>
      <c r="B65">
        <v>169597054</v>
      </c>
      <c r="C65" t="s">
        <v>357</v>
      </c>
      <c r="D65" t="s">
        <v>357</v>
      </c>
      <c r="E65" s="8" t="s">
        <v>238</v>
      </c>
      <c r="F65" t="s">
        <v>272</v>
      </c>
      <c r="I65" s="2">
        <v>43417</v>
      </c>
      <c r="J65" s="2">
        <v>45550</v>
      </c>
      <c r="K65" t="s">
        <v>482</v>
      </c>
    </row>
    <row r="66" spans="1:11">
      <c r="A66">
        <v>65</v>
      </c>
      <c r="B66">
        <v>168100619</v>
      </c>
      <c r="C66" t="s">
        <v>678</v>
      </c>
      <c r="D66" t="s">
        <v>678</v>
      </c>
      <c r="E66" s="8" t="s">
        <v>243</v>
      </c>
      <c r="F66" t="s">
        <v>272</v>
      </c>
      <c r="G66" t="s">
        <v>499</v>
      </c>
      <c r="H66" t="s">
        <v>1070</v>
      </c>
      <c r="I66" s="2">
        <v>43418</v>
      </c>
      <c r="J66" s="2">
        <v>45551</v>
      </c>
      <c r="K66" t="s">
        <v>482</v>
      </c>
    </row>
    <row r="67" spans="1:11">
      <c r="A67">
        <v>66</v>
      </c>
      <c r="B67">
        <v>166841267</v>
      </c>
      <c r="C67" t="s">
        <v>290</v>
      </c>
      <c r="D67" t="s">
        <v>363</v>
      </c>
      <c r="E67" s="8" t="s">
        <v>15</v>
      </c>
      <c r="F67" t="s">
        <v>1108</v>
      </c>
      <c r="G67" t="s">
        <v>492</v>
      </c>
      <c r="H67" t="s">
        <v>1070</v>
      </c>
      <c r="I67" s="2">
        <v>43420</v>
      </c>
      <c r="J67" s="2">
        <v>45552</v>
      </c>
      <c r="K67" t="s">
        <v>482</v>
      </c>
    </row>
    <row r="68" spans="1:11">
      <c r="A68">
        <v>67</v>
      </c>
      <c r="B68">
        <v>166842779</v>
      </c>
      <c r="C68" t="s">
        <v>934</v>
      </c>
      <c r="D68" t="s">
        <v>401</v>
      </c>
      <c r="E68" s="8" t="s">
        <v>47</v>
      </c>
      <c r="F68" t="s">
        <v>1108</v>
      </c>
      <c r="G68" t="s">
        <v>492</v>
      </c>
      <c r="H68" t="s">
        <v>1070</v>
      </c>
      <c r="I68" s="2">
        <v>43421</v>
      </c>
      <c r="J68" s="2">
        <v>45553</v>
      </c>
      <c r="K68" t="s">
        <v>482</v>
      </c>
    </row>
    <row r="69" spans="1:11">
      <c r="A69">
        <v>68</v>
      </c>
      <c r="B69">
        <v>166842795</v>
      </c>
      <c r="C69" t="s">
        <v>1013</v>
      </c>
      <c r="D69" t="s">
        <v>363</v>
      </c>
      <c r="E69" s="8" t="s">
        <v>47</v>
      </c>
      <c r="F69" t="s">
        <v>1108</v>
      </c>
      <c r="G69" t="s">
        <v>492</v>
      </c>
      <c r="H69" t="s">
        <v>1070</v>
      </c>
      <c r="I69" s="2">
        <v>43421</v>
      </c>
      <c r="J69" s="2">
        <v>45554</v>
      </c>
      <c r="K69" t="s">
        <v>482</v>
      </c>
    </row>
    <row r="70" spans="1:11">
      <c r="A70">
        <v>69</v>
      </c>
      <c r="B70">
        <v>166553359</v>
      </c>
      <c r="C70" t="s">
        <v>320</v>
      </c>
      <c r="D70" t="s">
        <v>320</v>
      </c>
      <c r="E70" s="8" t="s">
        <v>778</v>
      </c>
      <c r="F70" t="s">
        <v>272</v>
      </c>
      <c r="G70" t="s">
        <v>492</v>
      </c>
      <c r="H70" t="s">
        <v>1070</v>
      </c>
      <c r="I70" s="2">
        <v>43423</v>
      </c>
      <c r="J70" s="2">
        <v>45555</v>
      </c>
      <c r="K70" t="s">
        <v>482</v>
      </c>
    </row>
    <row r="71" spans="1:11">
      <c r="A71">
        <v>70</v>
      </c>
      <c r="B71">
        <v>166552609</v>
      </c>
      <c r="C71" t="s">
        <v>317</v>
      </c>
      <c r="D71" t="s">
        <v>346</v>
      </c>
      <c r="E71" s="8" t="s">
        <v>64</v>
      </c>
      <c r="F71" t="s">
        <v>272</v>
      </c>
      <c r="G71" t="s">
        <v>492</v>
      </c>
      <c r="H71" t="s">
        <v>1070</v>
      </c>
      <c r="I71" s="2">
        <v>43424</v>
      </c>
      <c r="J71" s="2">
        <v>45556</v>
      </c>
      <c r="K71" t="s">
        <v>482</v>
      </c>
    </row>
    <row r="72" spans="1:11">
      <c r="A72">
        <v>71</v>
      </c>
      <c r="B72">
        <v>166552567</v>
      </c>
      <c r="C72" t="s">
        <v>317</v>
      </c>
      <c r="D72" t="s">
        <v>346</v>
      </c>
      <c r="E72" s="8" t="s">
        <v>78</v>
      </c>
      <c r="F72" t="s">
        <v>272</v>
      </c>
      <c r="G72" t="s">
        <v>492</v>
      </c>
      <c r="H72" t="s">
        <v>1070</v>
      </c>
      <c r="I72" s="2">
        <v>43425</v>
      </c>
      <c r="J72" s="2">
        <v>45557</v>
      </c>
      <c r="K72" t="s">
        <v>482</v>
      </c>
    </row>
    <row r="73" spans="1:11">
      <c r="A73">
        <v>72</v>
      </c>
      <c r="B73">
        <v>169596430</v>
      </c>
      <c r="C73" t="s">
        <v>360</v>
      </c>
      <c r="D73" t="s">
        <v>401</v>
      </c>
      <c r="E73" s="8" t="s">
        <v>152</v>
      </c>
      <c r="F73" t="s">
        <v>1108</v>
      </c>
      <c r="G73" t="s">
        <v>492</v>
      </c>
      <c r="H73" t="s">
        <v>1070</v>
      </c>
      <c r="I73" s="2">
        <v>43426</v>
      </c>
      <c r="J73" s="2">
        <v>45558</v>
      </c>
      <c r="K73" t="s">
        <v>482</v>
      </c>
    </row>
    <row r="74" spans="1:11">
      <c r="A74">
        <v>73</v>
      </c>
      <c r="B74">
        <v>169596451</v>
      </c>
      <c r="C74" t="s">
        <v>361</v>
      </c>
      <c r="D74" t="s">
        <v>401</v>
      </c>
      <c r="E74" s="8" t="s">
        <v>152</v>
      </c>
      <c r="F74" t="s">
        <v>1108</v>
      </c>
      <c r="G74" t="s">
        <v>492</v>
      </c>
      <c r="H74" t="s">
        <v>1070</v>
      </c>
      <c r="I74" s="2">
        <v>43427</v>
      </c>
      <c r="J74" s="2">
        <v>45559</v>
      </c>
      <c r="K74" t="s">
        <v>482</v>
      </c>
    </row>
    <row r="75" spans="1:11">
      <c r="A75">
        <v>74</v>
      </c>
      <c r="B75">
        <v>166843401</v>
      </c>
      <c r="C75" t="s">
        <v>373</v>
      </c>
      <c r="D75" t="s">
        <v>363</v>
      </c>
      <c r="E75" s="8" t="s">
        <v>729</v>
      </c>
      <c r="F75" t="s">
        <v>272</v>
      </c>
      <c r="G75" t="s">
        <v>493</v>
      </c>
      <c r="H75" t="s">
        <v>1070</v>
      </c>
      <c r="I75" s="2">
        <v>43632</v>
      </c>
      <c r="J75" s="2">
        <v>45560</v>
      </c>
      <c r="K75" t="s">
        <v>482</v>
      </c>
    </row>
    <row r="76" spans="1:11">
      <c r="A76">
        <v>75</v>
      </c>
      <c r="B76">
        <v>166553469</v>
      </c>
      <c r="C76" t="s">
        <v>678</v>
      </c>
      <c r="D76" t="s">
        <v>678</v>
      </c>
      <c r="E76" s="8" t="s">
        <v>197</v>
      </c>
      <c r="F76" t="s">
        <v>274</v>
      </c>
      <c r="G76" t="s">
        <v>493</v>
      </c>
      <c r="H76" t="s">
        <v>1070</v>
      </c>
      <c r="I76" s="2">
        <v>43633</v>
      </c>
      <c r="J76" s="2">
        <v>45561</v>
      </c>
      <c r="K76" t="s">
        <v>482</v>
      </c>
    </row>
    <row r="77" spans="1:11">
      <c r="A77">
        <v>76</v>
      </c>
      <c r="B77">
        <v>166843461</v>
      </c>
      <c r="C77" t="s">
        <v>678</v>
      </c>
      <c r="D77" t="s">
        <v>678</v>
      </c>
      <c r="E77" s="8" t="s">
        <v>199</v>
      </c>
      <c r="F77" t="s">
        <v>274</v>
      </c>
      <c r="G77" t="s">
        <v>493</v>
      </c>
      <c r="H77" t="s">
        <v>1070</v>
      </c>
      <c r="I77" s="2">
        <v>43634</v>
      </c>
      <c r="J77" s="2">
        <v>45562</v>
      </c>
      <c r="K77" t="s">
        <v>482</v>
      </c>
    </row>
    <row r="78" spans="1:11">
      <c r="A78">
        <v>77</v>
      </c>
      <c r="B78">
        <v>159647991</v>
      </c>
      <c r="C78" t="s">
        <v>384</v>
      </c>
      <c r="D78" t="s">
        <v>401</v>
      </c>
      <c r="E78" t="s">
        <v>214</v>
      </c>
      <c r="F78" t="s">
        <v>272</v>
      </c>
      <c r="G78" t="s">
        <v>493</v>
      </c>
      <c r="H78" t="s">
        <v>1070</v>
      </c>
      <c r="I78" s="2">
        <v>43635</v>
      </c>
      <c r="J78" s="2">
        <v>45563</v>
      </c>
      <c r="K78" t="s">
        <v>482</v>
      </c>
    </row>
    <row r="79" spans="1:11">
      <c r="A79">
        <v>78</v>
      </c>
      <c r="B79">
        <v>136443829</v>
      </c>
      <c r="C79" t="s">
        <v>385</v>
      </c>
      <c r="D79" t="s">
        <v>401</v>
      </c>
      <c r="E79" t="s">
        <v>215</v>
      </c>
      <c r="F79" t="s">
        <v>272</v>
      </c>
      <c r="G79" t="s">
        <v>493</v>
      </c>
      <c r="H79" t="s">
        <v>1070</v>
      </c>
      <c r="I79" s="2">
        <v>43636</v>
      </c>
      <c r="J79" s="2">
        <v>45564</v>
      </c>
      <c r="K79" t="s">
        <v>482</v>
      </c>
    </row>
    <row r="80" spans="1:11">
      <c r="A80">
        <v>79</v>
      </c>
      <c r="B80">
        <v>155691264</v>
      </c>
      <c r="C80" t="s">
        <v>678</v>
      </c>
      <c r="D80" t="s">
        <v>678</v>
      </c>
      <c r="E80" s="8" t="s">
        <v>216</v>
      </c>
      <c r="F80" t="s">
        <v>1108</v>
      </c>
      <c r="I80" s="2">
        <v>43637</v>
      </c>
      <c r="J80" s="2">
        <v>45565</v>
      </c>
      <c r="K80" t="s">
        <v>482</v>
      </c>
    </row>
    <row r="81" spans="1:11">
      <c r="A81">
        <v>80</v>
      </c>
      <c r="B81">
        <v>165595234</v>
      </c>
      <c r="D81" t="s">
        <v>1108</v>
      </c>
      <c r="E81" s="8" t="s">
        <v>216</v>
      </c>
      <c r="F81" t="s">
        <v>1108</v>
      </c>
      <c r="G81" t="s">
        <v>498</v>
      </c>
      <c r="H81" t="s">
        <v>1070</v>
      </c>
      <c r="I81" s="2">
        <v>43638</v>
      </c>
      <c r="J81" s="2">
        <v>44380</v>
      </c>
      <c r="K81" t="s">
        <v>482</v>
      </c>
    </row>
    <row r="82" spans="1:11">
      <c r="A82">
        <v>81</v>
      </c>
      <c r="B82">
        <v>170932831</v>
      </c>
      <c r="C82" t="s">
        <v>357</v>
      </c>
      <c r="D82" t="s">
        <v>357</v>
      </c>
      <c r="E82" s="8" t="s">
        <v>217</v>
      </c>
      <c r="F82" t="s">
        <v>1108</v>
      </c>
      <c r="G82" t="s">
        <v>498</v>
      </c>
      <c r="H82" t="s">
        <v>1070</v>
      </c>
      <c r="I82" s="2">
        <v>43639</v>
      </c>
      <c r="J82" s="2">
        <v>44381</v>
      </c>
      <c r="K82" t="s">
        <v>482</v>
      </c>
    </row>
    <row r="83" spans="1:11">
      <c r="A83">
        <v>82</v>
      </c>
      <c r="B83">
        <v>143036416</v>
      </c>
      <c r="C83" t="s">
        <v>357</v>
      </c>
      <c r="D83" t="s">
        <v>357</v>
      </c>
      <c r="E83" s="8" t="s">
        <v>217</v>
      </c>
      <c r="F83" t="s">
        <v>1108</v>
      </c>
      <c r="G83" t="s">
        <v>498</v>
      </c>
      <c r="H83" t="s">
        <v>1070</v>
      </c>
      <c r="I83" s="2">
        <v>43640</v>
      </c>
      <c r="J83" s="2">
        <v>44382</v>
      </c>
      <c r="K83" t="s">
        <v>482</v>
      </c>
    </row>
    <row r="84" spans="1:11">
      <c r="A84">
        <v>83</v>
      </c>
      <c r="B84">
        <v>168543578</v>
      </c>
      <c r="D84" t="s">
        <v>1108</v>
      </c>
      <c r="E84" s="8" t="s">
        <v>218</v>
      </c>
      <c r="F84" t="s">
        <v>1108</v>
      </c>
      <c r="G84" t="s">
        <v>498</v>
      </c>
      <c r="H84" t="s">
        <v>1070</v>
      </c>
      <c r="I84" s="2">
        <v>43641</v>
      </c>
      <c r="J84" s="2">
        <v>44383</v>
      </c>
      <c r="K84" t="s">
        <v>482</v>
      </c>
    </row>
    <row r="85" spans="1:11">
      <c r="A85">
        <v>84</v>
      </c>
      <c r="B85">
        <v>166551717</v>
      </c>
      <c r="C85" t="s">
        <v>320</v>
      </c>
      <c r="D85" t="s">
        <v>320</v>
      </c>
      <c r="E85" s="8" t="s">
        <v>431</v>
      </c>
      <c r="F85" t="s">
        <v>272</v>
      </c>
      <c r="G85" t="s">
        <v>503</v>
      </c>
      <c r="H85" t="s">
        <v>1070</v>
      </c>
      <c r="I85" s="2">
        <v>43642</v>
      </c>
      <c r="J85" s="2">
        <v>44393</v>
      </c>
      <c r="K85" t="s">
        <v>482</v>
      </c>
    </row>
    <row r="86" spans="1:11">
      <c r="A86">
        <v>85</v>
      </c>
      <c r="B86">
        <v>169597096</v>
      </c>
      <c r="C86" t="s">
        <v>390</v>
      </c>
      <c r="D86" t="s">
        <v>1068</v>
      </c>
      <c r="E86" s="8" t="s">
        <v>227</v>
      </c>
      <c r="F86" t="s">
        <v>272</v>
      </c>
      <c r="G86" t="s">
        <v>498</v>
      </c>
      <c r="H86" t="s">
        <v>1070</v>
      </c>
      <c r="I86" s="2">
        <v>43642</v>
      </c>
      <c r="J86" s="2">
        <v>44386</v>
      </c>
      <c r="K86" t="s">
        <v>482</v>
      </c>
    </row>
    <row r="87" spans="1:11">
      <c r="A87">
        <v>86</v>
      </c>
      <c r="B87">
        <v>169597156</v>
      </c>
      <c r="C87" t="s">
        <v>346</v>
      </c>
      <c r="D87" t="s">
        <v>346</v>
      </c>
      <c r="E87" s="8" t="s">
        <v>731</v>
      </c>
      <c r="F87" t="s">
        <v>272</v>
      </c>
      <c r="G87" t="s">
        <v>498</v>
      </c>
      <c r="H87" t="s">
        <v>1070</v>
      </c>
      <c r="I87" s="2">
        <v>43642</v>
      </c>
      <c r="J87" s="2">
        <v>44384</v>
      </c>
      <c r="K87" t="s">
        <v>482</v>
      </c>
    </row>
    <row r="88" spans="1:11">
      <c r="A88">
        <v>87</v>
      </c>
      <c r="B88">
        <v>169597243</v>
      </c>
      <c r="C88" t="s">
        <v>389</v>
      </c>
      <c r="D88" t="s">
        <v>401</v>
      </c>
      <c r="E88" s="8" t="s">
        <v>227</v>
      </c>
      <c r="F88" t="s">
        <v>272</v>
      </c>
      <c r="G88" t="s">
        <v>498</v>
      </c>
      <c r="H88" t="s">
        <v>1070</v>
      </c>
      <c r="I88" s="2">
        <v>43642</v>
      </c>
      <c r="J88" s="2">
        <v>44385</v>
      </c>
      <c r="K88" t="s">
        <v>482</v>
      </c>
    </row>
    <row r="89" spans="1:11">
      <c r="A89">
        <v>88</v>
      </c>
      <c r="B89">
        <v>169597459</v>
      </c>
      <c r="C89" t="s">
        <v>1014</v>
      </c>
      <c r="D89" t="s">
        <v>363</v>
      </c>
      <c r="E89" s="8" t="s">
        <v>229</v>
      </c>
      <c r="F89" t="s">
        <v>1108</v>
      </c>
      <c r="G89" t="s">
        <v>503</v>
      </c>
      <c r="H89" t="s">
        <v>1070</v>
      </c>
      <c r="I89" s="2">
        <v>43642</v>
      </c>
      <c r="J89" s="2">
        <v>44391</v>
      </c>
      <c r="K89" t="s">
        <v>482</v>
      </c>
    </row>
    <row r="90" spans="1:11">
      <c r="A90">
        <v>89</v>
      </c>
      <c r="B90">
        <v>169597258</v>
      </c>
      <c r="C90" t="s">
        <v>387</v>
      </c>
      <c r="D90" t="s">
        <v>1068</v>
      </c>
      <c r="E90" s="8" t="s">
        <v>228</v>
      </c>
      <c r="F90" t="s">
        <v>1108</v>
      </c>
      <c r="G90" t="s">
        <v>498</v>
      </c>
      <c r="H90" t="s">
        <v>1070</v>
      </c>
      <c r="I90" s="2">
        <v>43645</v>
      </c>
      <c r="J90" s="2">
        <v>44387</v>
      </c>
      <c r="K90" t="s">
        <v>482</v>
      </c>
    </row>
    <row r="91" spans="1:11">
      <c r="A91">
        <v>90</v>
      </c>
      <c r="B91">
        <v>169596496</v>
      </c>
      <c r="C91" t="s">
        <v>1015</v>
      </c>
      <c r="D91" t="s">
        <v>363</v>
      </c>
      <c r="E91" s="8" t="s">
        <v>229</v>
      </c>
      <c r="F91" t="s">
        <v>1108</v>
      </c>
      <c r="G91" t="s">
        <v>503</v>
      </c>
      <c r="H91" t="s">
        <v>1070</v>
      </c>
      <c r="I91" s="2">
        <v>43647</v>
      </c>
      <c r="J91" s="2">
        <v>44392</v>
      </c>
      <c r="K91" t="s">
        <v>482</v>
      </c>
    </row>
    <row r="92" spans="1:11">
      <c r="A92">
        <v>91</v>
      </c>
      <c r="B92">
        <v>169597138</v>
      </c>
      <c r="C92" t="s">
        <v>357</v>
      </c>
      <c r="D92" t="s">
        <v>357</v>
      </c>
      <c r="E92" s="8" t="s">
        <v>231</v>
      </c>
      <c r="F92" t="s">
        <v>279</v>
      </c>
      <c r="G92" t="s">
        <v>503</v>
      </c>
      <c r="H92" t="s">
        <v>1070</v>
      </c>
      <c r="I92" s="2">
        <v>43649</v>
      </c>
      <c r="J92" s="2">
        <v>44394</v>
      </c>
      <c r="K92" t="s">
        <v>482</v>
      </c>
    </row>
    <row r="93" spans="1:11">
      <c r="A93">
        <v>92</v>
      </c>
      <c r="B93">
        <v>169597057</v>
      </c>
      <c r="C93" t="s">
        <v>391</v>
      </c>
      <c r="D93" t="s">
        <v>1068</v>
      </c>
      <c r="E93" s="8" t="s">
        <v>232</v>
      </c>
      <c r="F93" t="s">
        <v>1108</v>
      </c>
      <c r="G93" t="s">
        <v>503</v>
      </c>
      <c r="H93" t="s">
        <v>1070</v>
      </c>
      <c r="I93" s="2">
        <v>43650</v>
      </c>
      <c r="J93" s="2">
        <v>44395</v>
      </c>
      <c r="K93" t="s">
        <v>482</v>
      </c>
    </row>
    <row r="94" spans="1:11">
      <c r="A94">
        <v>93</v>
      </c>
      <c r="B94">
        <v>169597099</v>
      </c>
      <c r="C94" t="s">
        <v>678</v>
      </c>
      <c r="D94" t="s">
        <v>678</v>
      </c>
      <c r="E94" s="8" t="s">
        <v>758</v>
      </c>
      <c r="F94" t="s">
        <v>1108</v>
      </c>
      <c r="G94" t="s">
        <v>504</v>
      </c>
      <c r="H94" t="s">
        <v>1070</v>
      </c>
      <c r="I94" s="2">
        <v>43651</v>
      </c>
      <c r="J94" s="2">
        <v>44396</v>
      </c>
      <c r="K94" t="s">
        <v>482</v>
      </c>
    </row>
    <row r="95" spans="1:11">
      <c r="A95">
        <v>94</v>
      </c>
      <c r="B95">
        <v>169597135</v>
      </c>
      <c r="C95" t="s">
        <v>678</v>
      </c>
      <c r="D95" t="s">
        <v>678</v>
      </c>
      <c r="E95" s="8" t="s">
        <v>233</v>
      </c>
      <c r="F95" t="s">
        <v>272</v>
      </c>
      <c r="G95" t="s">
        <v>504</v>
      </c>
      <c r="H95" t="s">
        <v>1070</v>
      </c>
      <c r="I95" s="2">
        <v>43652</v>
      </c>
      <c r="J95" s="2">
        <v>44397</v>
      </c>
      <c r="K95" t="s">
        <v>482</v>
      </c>
    </row>
    <row r="96" spans="1:11">
      <c r="A96">
        <v>95</v>
      </c>
      <c r="B96">
        <v>169597348</v>
      </c>
      <c r="C96" t="s">
        <v>357</v>
      </c>
      <c r="D96" t="s">
        <v>357</v>
      </c>
      <c r="E96" s="8" t="s">
        <v>234</v>
      </c>
      <c r="F96" t="s">
        <v>272</v>
      </c>
      <c r="G96" t="s">
        <v>504</v>
      </c>
      <c r="H96" t="s">
        <v>1070</v>
      </c>
      <c r="I96" s="2">
        <v>43653</v>
      </c>
      <c r="J96" s="2">
        <v>44398</v>
      </c>
      <c r="K96" t="s">
        <v>482</v>
      </c>
    </row>
    <row r="97" spans="1:11">
      <c r="A97">
        <v>96</v>
      </c>
      <c r="B97">
        <v>169597039</v>
      </c>
      <c r="C97" t="s">
        <v>320</v>
      </c>
      <c r="D97" t="s">
        <v>320</v>
      </c>
      <c r="E97" s="8" t="s">
        <v>234</v>
      </c>
      <c r="F97" t="s">
        <v>272</v>
      </c>
      <c r="G97" t="s">
        <v>504</v>
      </c>
      <c r="H97" t="s">
        <v>1070</v>
      </c>
      <c r="I97" s="2">
        <v>43654</v>
      </c>
      <c r="J97" s="2">
        <v>44399</v>
      </c>
      <c r="K97" t="s">
        <v>482</v>
      </c>
    </row>
    <row r="98" spans="1:11">
      <c r="A98">
        <v>97</v>
      </c>
      <c r="B98">
        <v>169596487</v>
      </c>
      <c r="C98" t="s">
        <v>357</v>
      </c>
      <c r="D98" t="s">
        <v>357</v>
      </c>
      <c r="E98" s="8" t="s">
        <v>234</v>
      </c>
      <c r="F98" t="s">
        <v>272</v>
      </c>
      <c r="G98" t="s">
        <v>504</v>
      </c>
      <c r="H98" t="s">
        <v>1070</v>
      </c>
      <c r="I98" s="2">
        <v>43655</v>
      </c>
      <c r="J98" s="2">
        <v>44400</v>
      </c>
      <c r="K98" t="s">
        <v>482</v>
      </c>
    </row>
    <row r="99" spans="1:11">
      <c r="A99">
        <v>98</v>
      </c>
      <c r="B99">
        <v>169597240</v>
      </c>
      <c r="D99" t="s">
        <v>1108</v>
      </c>
      <c r="E99" s="8" t="s">
        <v>771</v>
      </c>
      <c r="F99" t="s">
        <v>274</v>
      </c>
      <c r="G99" t="s">
        <v>504</v>
      </c>
      <c r="H99" t="s">
        <v>1070</v>
      </c>
      <c r="I99" s="2">
        <v>43656</v>
      </c>
      <c r="J99" s="2">
        <v>44401</v>
      </c>
      <c r="K99" t="s">
        <v>482</v>
      </c>
    </row>
    <row r="100" spans="1:11">
      <c r="A100">
        <v>99</v>
      </c>
      <c r="B100">
        <v>168101249</v>
      </c>
      <c r="D100" t="s">
        <v>1108</v>
      </c>
      <c r="E100" s="8" t="s">
        <v>235</v>
      </c>
      <c r="F100" t="s">
        <v>1108</v>
      </c>
      <c r="G100" t="s">
        <v>504</v>
      </c>
      <c r="H100" t="s">
        <v>1070</v>
      </c>
      <c r="I100" s="2">
        <v>43657</v>
      </c>
      <c r="J100" s="2">
        <v>44402</v>
      </c>
      <c r="K100" t="s">
        <v>482</v>
      </c>
    </row>
    <row r="101" spans="1:11">
      <c r="A101">
        <v>100</v>
      </c>
      <c r="B101">
        <v>169596511</v>
      </c>
      <c r="D101" t="s">
        <v>1108</v>
      </c>
      <c r="E101" s="8" t="s">
        <v>236</v>
      </c>
      <c r="F101" t="s">
        <v>272</v>
      </c>
      <c r="G101" t="s">
        <v>504</v>
      </c>
      <c r="H101" t="s">
        <v>1070</v>
      </c>
      <c r="I101" s="2">
        <v>43658</v>
      </c>
      <c r="J101" s="2">
        <v>44403</v>
      </c>
      <c r="K101" t="s">
        <v>482</v>
      </c>
    </row>
    <row r="102" spans="1:11">
      <c r="A102">
        <v>101</v>
      </c>
      <c r="B102">
        <v>169597441</v>
      </c>
      <c r="C102" t="s">
        <v>678</v>
      </c>
      <c r="D102" t="s">
        <v>678</v>
      </c>
      <c r="E102" s="8" t="s">
        <v>236</v>
      </c>
      <c r="F102" t="s">
        <v>272</v>
      </c>
      <c r="G102" t="s">
        <v>504</v>
      </c>
      <c r="H102" t="s">
        <v>1070</v>
      </c>
      <c r="I102" s="2">
        <v>43659</v>
      </c>
      <c r="J102" s="2">
        <v>44404</v>
      </c>
      <c r="K102" t="s">
        <v>482</v>
      </c>
    </row>
    <row r="103" spans="1:11">
      <c r="A103">
        <v>102</v>
      </c>
      <c r="B103">
        <v>169597207</v>
      </c>
      <c r="D103" t="s">
        <v>1108</v>
      </c>
      <c r="E103" s="8" t="s">
        <v>236</v>
      </c>
      <c r="F103" t="s">
        <v>272</v>
      </c>
      <c r="G103" t="s">
        <v>504</v>
      </c>
      <c r="H103" t="s">
        <v>1070</v>
      </c>
      <c r="I103" s="2">
        <v>43660</v>
      </c>
      <c r="J103" s="2">
        <v>44405</v>
      </c>
      <c r="K103" t="s">
        <v>482</v>
      </c>
    </row>
    <row r="104" spans="1:11">
      <c r="A104">
        <v>103</v>
      </c>
      <c r="B104">
        <v>168101237</v>
      </c>
      <c r="C104" t="s">
        <v>357</v>
      </c>
      <c r="D104" t="s">
        <v>357</v>
      </c>
      <c r="E104" s="8"/>
      <c r="F104" t="s">
        <v>274</v>
      </c>
      <c r="G104" t="s">
        <v>504</v>
      </c>
      <c r="H104" t="s">
        <v>1070</v>
      </c>
      <c r="I104" s="2">
        <v>43661</v>
      </c>
      <c r="J104" s="2">
        <v>44013</v>
      </c>
      <c r="K104" t="s">
        <v>482</v>
      </c>
    </row>
    <row r="105" spans="1:11">
      <c r="A105">
        <v>104</v>
      </c>
      <c r="B105">
        <v>169597372</v>
      </c>
      <c r="C105" t="s">
        <v>678</v>
      </c>
      <c r="D105" t="s">
        <v>678</v>
      </c>
      <c r="E105" s="8" t="s">
        <v>237</v>
      </c>
      <c r="F105" t="s">
        <v>272</v>
      </c>
      <c r="G105" t="s">
        <v>504</v>
      </c>
      <c r="H105" t="s">
        <v>1070</v>
      </c>
      <c r="I105" s="2">
        <v>43662</v>
      </c>
      <c r="J105" s="2">
        <v>43959</v>
      </c>
      <c r="K105" t="s">
        <v>482</v>
      </c>
    </row>
    <row r="106" spans="1:11">
      <c r="A106">
        <v>105</v>
      </c>
      <c r="B106">
        <v>169597225</v>
      </c>
      <c r="C106" t="s">
        <v>678</v>
      </c>
      <c r="D106" t="s">
        <v>678</v>
      </c>
      <c r="E106" s="8" t="s">
        <v>237</v>
      </c>
      <c r="F106" t="s">
        <v>272</v>
      </c>
      <c r="G106" t="s">
        <v>504</v>
      </c>
      <c r="H106" t="s">
        <v>1070</v>
      </c>
      <c r="I106" s="2">
        <v>43663</v>
      </c>
      <c r="J106" s="2">
        <v>43960</v>
      </c>
      <c r="K106" t="s">
        <v>482</v>
      </c>
    </row>
    <row r="107" spans="1:11">
      <c r="A107">
        <v>106</v>
      </c>
      <c r="B107">
        <v>169597456</v>
      </c>
      <c r="C107" t="s">
        <v>678</v>
      </c>
      <c r="D107" t="s">
        <v>678</v>
      </c>
      <c r="E107" s="8" t="s">
        <v>237</v>
      </c>
      <c r="F107" t="s">
        <v>272</v>
      </c>
      <c r="G107" t="s">
        <v>504</v>
      </c>
      <c r="H107" t="s">
        <v>1070</v>
      </c>
      <c r="I107" s="2">
        <v>43664</v>
      </c>
      <c r="J107" s="2">
        <v>43961</v>
      </c>
      <c r="K107" t="s">
        <v>482</v>
      </c>
    </row>
    <row r="108" spans="1:11">
      <c r="A108">
        <v>107</v>
      </c>
      <c r="B108">
        <v>169597087</v>
      </c>
      <c r="C108" t="s">
        <v>1025</v>
      </c>
      <c r="D108" t="s">
        <v>363</v>
      </c>
      <c r="E108" s="8" t="s">
        <v>237</v>
      </c>
      <c r="F108" t="s">
        <v>272</v>
      </c>
      <c r="G108" t="s">
        <v>504</v>
      </c>
      <c r="H108" t="s">
        <v>1070</v>
      </c>
      <c r="I108" s="2">
        <v>43665</v>
      </c>
      <c r="J108" s="2">
        <v>43962</v>
      </c>
      <c r="K108" t="s">
        <v>482</v>
      </c>
    </row>
    <row r="109" spans="1:11">
      <c r="A109">
        <v>108</v>
      </c>
      <c r="B109">
        <v>143068316</v>
      </c>
      <c r="C109" t="s">
        <v>316</v>
      </c>
      <c r="D109" t="s">
        <v>1042</v>
      </c>
      <c r="E109" s="8" t="s">
        <v>237</v>
      </c>
      <c r="F109" t="s">
        <v>272</v>
      </c>
      <c r="G109" t="s">
        <v>497</v>
      </c>
      <c r="H109" t="s">
        <v>1070</v>
      </c>
      <c r="I109" s="2">
        <v>43666</v>
      </c>
      <c r="J109" s="2">
        <v>43963</v>
      </c>
      <c r="K109" t="s">
        <v>482</v>
      </c>
    </row>
    <row r="110" spans="1:11">
      <c r="A110">
        <v>109</v>
      </c>
      <c r="B110">
        <v>169597267</v>
      </c>
      <c r="C110" t="s">
        <v>320</v>
      </c>
      <c r="D110" t="s">
        <v>320</v>
      </c>
      <c r="E110" s="8" t="s">
        <v>237</v>
      </c>
      <c r="F110" t="s">
        <v>272</v>
      </c>
      <c r="G110" t="s">
        <v>497</v>
      </c>
      <c r="H110" t="s">
        <v>1070</v>
      </c>
      <c r="I110" s="2">
        <v>43667</v>
      </c>
      <c r="J110" s="2">
        <v>43964</v>
      </c>
      <c r="K110" t="s">
        <v>482</v>
      </c>
    </row>
    <row r="111" spans="1:11">
      <c r="A111">
        <v>110</v>
      </c>
      <c r="B111">
        <v>169597399</v>
      </c>
      <c r="C111" t="s">
        <v>306</v>
      </c>
      <c r="D111" t="s">
        <v>306</v>
      </c>
      <c r="E111" s="8"/>
      <c r="F111" t="s">
        <v>276</v>
      </c>
      <c r="I111" s="2">
        <v>43668</v>
      </c>
      <c r="J111" s="2">
        <v>43965</v>
      </c>
      <c r="K111" t="s">
        <v>482</v>
      </c>
    </row>
    <row r="112" spans="1:11">
      <c r="A112">
        <v>111</v>
      </c>
      <c r="B112">
        <v>169597264</v>
      </c>
      <c r="C112" t="s">
        <v>394</v>
      </c>
      <c r="D112" t="s">
        <v>1068</v>
      </c>
      <c r="E112" s="8" t="s">
        <v>239</v>
      </c>
      <c r="F112" t="s">
        <v>1108</v>
      </c>
      <c r="G112" t="s">
        <v>497</v>
      </c>
      <c r="H112" t="s">
        <v>1070</v>
      </c>
      <c r="I112" s="2">
        <v>43669</v>
      </c>
      <c r="J112" s="2">
        <v>43966</v>
      </c>
      <c r="K112" t="s">
        <v>482</v>
      </c>
    </row>
    <row r="113" spans="1:11">
      <c r="A113">
        <v>112</v>
      </c>
      <c r="B113">
        <v>168100946</v>
      </c>
      <c r="C113" t="s">
        <v>320</v>
      </c>
      <c r="D113" t="s">
        <v>320</v>
      </c>
      <c r="E113" s="8" t="s">
        <v>240</v>
      </c>
      <c r="F113" t="s">
        <v>1108</v>
      </c>
      <c r="G113" t="s">
        <v>497</v>
      </c>
      <c r="H113" t="s">
        <v>1070</v>
      </c>
      <c r="I113" s="2">
        <v>43670</v>
      </c>
      <c r="J113" s="2">
        <v>43967</v>
      </c>
      <c r="K113" t="s">
        <v>482</v>
      </c>
    </row>
    <row r="114" spans="1:11">
      <c r="A114">
        <v>113</v>
      </c>
      <c r="B114">
        <v>169597150</v>
      </c>
      <c r="C114" t="s">
        <v>395</v>
      </c>
      <c r="D114" t="s">
        <v>401</v>
      </c>
      <c r="E114" s="8" t="s">
        <v>241</v>
      </c>
      <c r="F114" t="s">
        <v>272</v>
      </c>
      <c r="G114" t="s">
        <v>497</v>
      </c>
      <c r="H114" t="s">
        <v>1070</v>
      </c>
      <c r="I114" s="2">
        <v>43671</v>
      </c>
      <c r="J114" s="2">
        <v>43968</v>
      </c>
      <c r="K114" t="s">
        <v>482</v>
      </c>
    </row>
    <row r="115" spans="1:11">
      <c r="A115">
        <v>114</v>
      </c>
      <c r="B115">
        <v>169597405</v>
      </c>
      <c r="C115" t="s">
        <v>995</v>
      </c>
      <c r="D115" t="s">
        <v>1042</v>
      </c>
      <c r="E115" s="8" t="s">
        <v>241</v>
      </c>
      <c r="F115" t="s">
        <v>272</v>
      </c>
      <c r="G115" t="s">
        <v>497</v>
      </c>
      <c r="H115" t="s">
        <v>1070</v>
      </c>
      <c r="I115" s="2">
        <v>43672</v>
      </c>
      <c r="J115" s="2">
        <v>43969</v>
      </c>
      <c r="K115" t="s">
        <v>482</v>
      </c>
    </row>
    <row r="116" spans="1:11">
      <c r="A116">
        <v>115</v>
      </c>
      <c r="B116">
        <v>169597471</v>
      </c>
      <c r="C116" t="s">
        <v>332</v>
      </c>
      <c r="D116" t="s">
        <v>1068</v>
      </c>
      <c r="E116" s="8" t="s">
        <v>241</v>
      </c>
      <c r="F116" t="s">
        <v>272</v>
      </c>
      <c r="G116" t="s">
        <v>500</v>
      </c>
      <c r="H116" t="s">
        <v>1070</v>
      </c>
      <c r="I116" s="2">
        <v>43673</v>
      </c>
      <c r="J116" s="2">
        <v>43970</v>
      </c>
      <c r="K116" t="s">
        <v>482</v>
      </c>
    </row>
    <row r="117" spans="1:11">
      <c r="A117">
        <v>116</v>
      </c>
      <c r="B117">
        <v>169597123</v>
      </c>
      <c r="C117" t="s">
        <v>678</v>
      </c>
      <c r="D117" t="s">
        <v>678</v>
      </c>
      <c r="E117" s="8" t="s">
        <v>772</v>
      </c>
      <c r="F117" t="s">
        <v>272</v>
      </c>
      <c r="G117" t="s">
        <v>500</v>
      </c>
      <c r="H117" t="s">
        <v>1070</v>
      </c>
      <c r="I117" s="2">
        <v>43674</v>
      </c>
      <c r="J117" s="2">
        <v>43971</v>
      </c>
      <c r="K117" t="s">
        <v>482</v>
      </c>
    </row>
    <row r="118" spans="1:11">
      <c r="A118">
        <v>117</v>
      </c>
      <c r="B118">
        <v>143044416</v>
      </c>
      <c r="C118" t="s">
        <v>952</v>
      </c>
      <c r="D118" t="s">
        <v>1042</v>
      </c>
      <c r="E118" s="8" t="s">
        <v>244</v>
      </c>
      <c r="F118" t="s">
        <v>1108</v>
      </c>
      <c r="G118" t="s">
        <v>500</v>
      </c>
      <c r="H118" t="s">
        <v>1070</v>
      </c>
      <c r="I118" s="2">
        <v>43677</v>
      </c>
      <c r="J118" s="2">
        <v>43974</v>
      </c>
      <c r="K118" t="s">
        <v>482</v>
      </c>
    </row>
    <row r="119" spans="1:11">
      <c r="A119">
        <v>118</v>
      </c>
      <c r="B119">
        <v>169597396</v>
      </c>
      <c r="C119" t="s">
        <v>968</v>
      </c>
      <c r="D119" t="s">
        <v>1042</v>
      </c>
      <c r="E119" s="8" t="s">
        <v>245</v>
      </c>
      <c r="F119" t="s">
        <v>1108</v>
      </c>
      <c r="G119" t="s">
        <v>500</v>
      </c>
      <c r="H119" t="s">
        <v>1070</v>
      </c>
      <c r="I119" s="2">
        <v>43678</v>
      </c>
      <c r="J119" s="2">
        <v>43975</v>
      </c>
      <c r="K119" t="s">
        <v>482</v>
      </c>
    </row>
    <row r="120" spans="1:11">
      <c r="A120">
        <v>119</v>
      </c>
      <c r="B120">
        <v>169597342</v>
      </c>
      <c r="C120" t="s">
        <v>320</v>
      </c>
      <c r="D120" t="s">
        <v>320</v>
      </c>
      <c r="E120" s="8" t="s">
        <v>246</v>
      </c>
      <c r="F120" t="s">
        <v>1108</v>
      </c>
      <c r="G120" t="s">
        <v>500</v>
      </c>
      <c r="H120" t="s">
        <v>1070</v>
      </c>
      <c r="I120" s="2">
        <v>43679</v>
      </c>
      <c r="J120" s="2">
        <v>43976</v>
      </c>
      <c r="K120" t="s">
        <v>482</v>
      </c>
    </row>
    <row r="121" spans="1:11">
      <c r="A121">
        <v>120</v>
      </c>
      <c r="B121">
        <v>169597045</v>
      </c>
      <c r="C121" t="s">
        <v>372</v>
      </c>
      <c r="D121" t="s">
        <v>401</v>
      </c>
      <c r="E121" s="8" t="s">
        <v>775</v>
      </c>
      <c r="F121" t="s">
        <v>1108</v>
      </c>
      <c r="G121" t="s">
        <v>500</v>
      </c>
      <c r="H121" t="s">
        <v>1070</v>
      </c>
      <c r="I121" s="2">
        <v>43680</v>
      </c>
      <c r="J121" s="2">
        <v>43977</v>
      </c>
      <c r="K121" t="s">
        <v>482</v>
      </c>
    </row>
    <row r="122" spans="1:11">
      <c r="A122">
        <v>121</v>
      </c>
      <c r="B122">
        <v>169596502</v>
      </c>
      <c r="C122" t="s">
        <v>678</v>
      </c>
      <c r="D122" t="s">
        <v>678</v>
      </c>
      <c r="E122" s="8" t="s">
        <v>775</v>
      </c>
      <c r="F122" t="s">
        <v>1108</v>
      </c>
      <c r="G122" t="s">
        <v>500</v>
      </c>
      <c r="H122" t="s">
        <v>1070</v>
      </c>
      <c r="I122" s="2">
        <v>43681</v>
      </c>
      <c r="J122" s="2">
        <v>43978</v>
      </c>
      <c r="K122" t="s">
        <v>482</v>
      </c>
    </row>
    <row r="123" spans="1:11">
      <c r="A123">
        <v>122</v>
      </c>
      <c r="B123">
        <v>169597414</v>
      </c>
      <c r="C123" t="s">
        <v>11</v>
      </c>
      <c r="D123" t="s">
        <v>401</v>
      </c>
      <c r="E123" s="8" t="s">
        <v>775</v>
      </c>
      <c r="F123" t="s">
        <v>1108</v>
      </c>
      <c r="G123" t="s">
        <v>500</v>
      </c>
      <c r="H123" t="s">
        <v>1070</v>
      </c>
      <c r="I123" s="2">
        <v>43682</v>
      </c>
      <c r="J123" s="2">
        <v>43979</v>
      </c>
      <c r="K123" t="s">
        <v>482</v>
      </c>
    </row>
    <row r="124" spans="1:11">
      <c r="A124">
        <v>123</v>
      </c>
      <c r="B124">
        <v>168100478</v>
      </c>
      <c r="C124" t="s">
        <v>969</v>
      </c>
      <c r="D124" t="s">
        <v>1042</v>
      </c>
      <c r="E124" s="8" t="s">
        <v>247</v>
      </c>
      <c r="F124" t="s">
        <v>274</v>
      </c>
      <c r="G124" t="s">
        <v>499</v>
      </c>
      <c r="H124" t="s">
        <v>1070</v>
      </c>
      <c r="I124" s="2">
        <v>43683</v>
      </c>
      <c r="J124" s="2">
        <v>43980</v>
      </c>
      <c r="K124" t="s">
        <v>482</v>
      </c>
    </row>
    <row r="125" spans="1:11">
      <c r="A125">
        <v>124</v>
      </c>
      <c r="B125">
        <v>169597192</v>
      </c>
      <c r="C125" t="s">
        <v>397</v>
      </c>
      <c r="D125" t="s">
        <v>1068</v>
      </c>
      <c r="E125" s="8" t="s">
        <v>248</v>
      </c>
      <c r="F125" t="s">
        <v>272</v>
      </c>
      <c r="G125" t="s">
        <v>499</v>
      </c>
      <c r="H125" t="s">
        <v>1070</v>
      </c>
      <c r="I125" s="2">
        <v>43684</v>
      </c>
      <c r="J125" s="2">
        <v>43981</v>
      </c>
      <c r="K125" t="s">
        <v>482</v>
      </c>
    </row>
    <row r="126" spans="1:11">
      <c r="A126">
        <v>125</v>
      </c>
      <c r="B126">
        <v>169597261</v>
      </c>
      <c r="C126" t="s">
        <v>397</v>
      </c>
      <c r="D126" t="s">
        <v>1068</v>
      </c>
      <c r="E126" s="8" t="s">
        <v>248</v>
      </c>
      <c r="F126" t="s">
        <v>272</v>
      </c>
      <c r="G126" t="s">
        <v>499</v>
      </c>
      <c r="H126" t="s">
        <v>1070</v>
      </c>
      <c r="I126" s="2">
        <v>43685</v>
      </c>
      <c r="J126" s="2">
        <v>43982</v>
      </c>
      <c r="K126" t="s">
        <v>482</v>
      </c>
    </row>
    <row r="127" spans="1:11">
      <c r="A127">
        <v>126</v>
      </c>
      <c r="B127">
        <v>169597345</v>
      </c>
      <c r="C127" t="s">
        <v>928</v>
      </c>
      <c r="D127" t="s">
        <v>1068</v>
      </c>
      <c r="E127" s="8" t="s">
        <v>248</v>
      </c>
      <c r="F127" t="s">
        <v>272</v>
      </c>
      <c r="G127" t="s">
        <v>499</v>
      </c>
      <c r="H127" t="s">
        <v>1070</v>
      </c>
      <c r="I127" s="2">
        <v>43686</v>
      </c>
      <c r="J127" s="2">
        <v>43983</v>
      </c>
      <c r="K127" t="s">
        <v>482</v>
      </c>
    </row>
    <row r="128" spans="1:11">
      <c r="A128">
        <v>127</v>
      </c>
      <c r="B128">
        <v>166549173</v>
      </c>
      <c r="C128" t="s">
        <v>678</v>
      </c>
      <c r="D128" t="s">
        <v>678</v>
      </c>
      <c r="E128" s="8" t="s">
        <v>107</v>
      </c>
      <c r="F128" t="s">
        <v>274</v>
      </c>
      <c r="G128" t="s">
        <v>499</v>
      </c>
      <c r="H128" t="s">
        <v>1070</v>
      </c>
      <c r="I128" s="2">
        <v>43687</v>
      </c>
      <c r="J128" s="2">
        <v>43984</v>
      </c>
      <c r="K128" t="s">
        <v>482</v>
      </c>
    </row>
    <row r="129" spans="1:11">
      <c r="A129">
        <v>128</v>
      </c>
      <c r="B129">
        <v>165377612</v>
      </c>
      <c r="C129" t="s">
        <v>333</v>
      </c>
      <c r="D129" t="s">
        <v>401</v>
      </c>
      <c r="E129" s="8" t="s">
        <v>107</v>
      </c>
      <c r="F129" t="s">
        <v>274</v>
      </c>
      <c r="G129" t="s">
        <v>499</v>
      </c>
      <c r="H129" t="s">
        <v>1070</v>
      </c>
      <c r="I129" s="2">
        <v>43688</v>
      </c>
      <c r="J129" s="2">
        <v>43985</v>
      </c>
      <c r="K129" t="s">
        <v>482</v>
      </c>
    </row>
    <row r="130" spans="1:11">
      <c r="A130">
        <v>129</v>
      </c>
      <c r="B130">
        <v>166843469</v>
      </c>
      <c r="D130" t="s">
        <v>1108</v>
      </c>
      <c r="E130" s="8" t="s">
        <v>209</v>
      </c>
      <c r="F130" t="s">
        <v>272</v>
      </c>
      <c r="G130" t="s">
        <v>499</v>
      </c>
      <c r="H130" t="s">
        <v>1070</v>
      </c>
      <c r="I130" s="2">
        <v>43689</v>
      </c>
      <c r="J130" s="2">
        <v>43986</v>
      </c>
      <c r="K130" t="s">
        <v>482</v>
      </c>
    </row>
    <row r="131" spans="1:11">
      <c r="A131">
        <v>130</v>
      </c>
      <c r="B131">
        <v>169597078</v>
      </c>
      <c r="C131" t="s">
        <v>996</v>
      </c>
      <c r="D131" t="s">
        <v>1042</v>
      </c>
      <c r="E131" s="8" t="s">
        <v>249</v>
      </c>
      <c r="F131" t="s">
        <v>272</v>
      </c>
      <c r="G131" t="s">
        <v>499</v>
      </c>
      <c r="H131" t="s">
        <v>1070</v>
      </c>
      <c r="I131" s="2">
        <v>43690</v>
      </c>
      <c r="J131" s="2">
        <v>43987</v>
      </c>
      <c r="K131" t="s">
        <v>482</v>
      </c>
    </row>
    <row r="132" spans="1:11">
      <c r="A132">
        <v>131</v>
      </c>
      <c r="B132">
        <v>169597336</v>
      </c>
      <c r="C132" t="s">
        <v>357</v>
      </c>
      <c r="D132" t="s">
        <v>357</v>
      </c>
      <c r="E132" s="8" t="s">
        <v>249</v>
      </c>
      <c r="F132" t="s">
        <v>272</v>
      </c>
      <c r="G132" t="s">
        <v>499</v>
      </c>
      <c r="H132" t="s">
        <v>1070</v>
      </c>
      <c r="I132" s="2">
        <v>43691</v>
      </c>
      <c r="J132" s="2">
        <v>43988</v>
      </c>
      <c r="K132" t="s">
        <v>482</v>
      </c>
    </row>
    <row r="133" spans="1:11">
      <c r="A133">
        <v>132</v>
      </c>
      <c r="B133">
        <v>169597390</v>
      </c>
      <c r="C133" t="s">
        <v>970</v>
      </c>
      <c r="D133" t="s">
        <v>363</v>
      </c>
      <c r="E133" s="8" t="s">
        <v>249</v>
      </c>
      <c r="F133" t="s">
        <v>272</v>
      </c>
      <c r="G133" t="s">
        <v>499</v>
      </c>
      <c r="H133" t="s">
        <v>1070</v>
      </c>
      <c r="I133" s="2">
        <v>43692</v>
      </c>
      <c r="J133" s="2">
        <v>43989</v>
      </c>
      <c r="K133" t="s">
        <v>482</v>
      </c>
    </row>
    <row r="134" spans="1:11">
      <c r="A134">
        <v>133</v>
      </c>
      <c r="B134">
        <v>168101246</v>
      </c>
      <c r="C134" t="s">
        <v>398</v>
      </c>
      <c r="D134" t="s">
        <v>1068</v>
      </c>
      <c r="E134" s="8" t="s">
        <v>249</v>
      </c>
      <c r="F134" t="s">
        <v>272</v>
      </c>
      <c r="G134" t="s">
        <v>504</v>
      </c>
      <c r="H134" t="s">
        <v>1070</v>
      </c>
      <c r="I134" s="2">
        <v>43693</v>
      </c>
      <c r="J134" s="2">
        <v>43990</v>
      </c>
      <c r="K134" t="s">
        <v>482</v>
      </c>
    </row>
    <row r="135" spans="1:11">
      <c r="A135">
        <v>134</v>
      </c>
      <c r="B135">
        <v>169597186</v>
      </c>
      <c r="C135" t="s">
        <v>357</v>
      </c>
      <c r="D135" t="s">
        <v>357</v>
      </c>
      <c r="E135" s="8" t="s">
        <v>249</v>
      </c>
      <c r="F135" t="s">
        <v>272</v>
      </c>
      <c r="G135" t="s">
        <v>504</v>
      </c>
      <c r="H135" t="s">
        <v>1070</v>
      </c>
      <c r="I135" s="2">
        <v>43694</v>
      </c>
      <c r="J135" s="2">
        <v>43991</v>
      </c>
      <c r="K135" t="s">
        <v>482</v>
      </c>
    </row>
    <row r="136" spans="1:11">
      <c r="A136">
        <v>135</v>
      </c>
      <c r="B136">
        <v>169597477</v>
      </c>
      <c r="C136" t="s">
        <v>1016</v>
      </c>
      <c r="D136" t="s">
        <v>363</v>
      </c>
      <c r="E136" s="8" t="s">
        <v>249</v>
      </c>
      <c r="F136" t="s">
        <v>272</v>
      </c>
      <c r="G136" t="s">
        <v>504</v>
      </c>
      <c r="H136" t="s">
        <v>1070</v>
      </c>
      <c r="I136" s="2">
        <v>43695</v>
      </c>
      <c r="J136" s="2">
        <v>43992</v>
      </c>
      <c r="K136" t="s">
        <v>482</v>
      </c>
    </row>
    <row r="137" spans="1:11">
      <c r="A137">
        <v>136</v>
      </c>
      <c r="B137">
        <v>169597375</v>
      </c>
      <c r="C137" t="s">
        <v>399</v>
      </c>
      <c r="D137" t="s">
        <v>401</v>
      </c>
      <c r="E137" s="8" t="s">
        <v>249</v>
      </c>
      <c r="F137" t="s">
        <v>272</v>
      </c>
      <c r="G137" t="s">
        <v>504</v>
      </c>
      <c r="H137" t="s">
        <v>1070</v>
      </c>
      <c r="I137" s="2">
        <v>43696</v>
      </c>
      <c r="J137" s="2">
        <v>43993</v>
      </c>
      <c r="K137" t="s">
        <v>482</v>
      </c>
    </row>
    <row r="138" spans="1:11">
      <c r="A138">
        <v>137</v>
      </c>
      <c r="B138">
        <v>169597228</v>
      </c>
      <c r="C138" t="s">
        <v>320</v>
      </c>
      <c r="D138" t="s">
        <v>320</v>
      </c>
      <c r="E138" s="8" t="s">
        <v>249</v>
      </c>
      <c r="F138" t="s">
        <v>272</v>
      </c>
      <c r="G138" t="s">
        <v>504</v>
      </c>
      <c r="H138" t="s">
        <v>1070</v>
      </c>
      <c r="I138" s="2">
        <v>43697</v>
      </c>
      <c r="J138" s="2">
        <v>43994</v>
      </c>
      <c r="K138" t="s">
        <v>482</v>
      </c>
    </row>
    <row r="139" spans="1:11">
      <c r="A139">
        <v>138</v>
      </c>
      <c r="B139">
        <v>169597174</v>
      </c>
      <c r="C139" t="s">
        <v>357</v>
      </c>
      <c r="D139" t="s">
        <v>357</v>
      </c>
      <c r="E139" s="8" t="s">
        <v>249</v>
      </c>
      <c r="F139" t="s">
        <v>272</v>
      </c>
      <c r="G139" t="s">
        <v>504</v>
      </c>
      <c r="H139" t="s">
        <v>1070</v>
      </c>
      <c r="I139" s="2">
        <v>43698</v>
      </c>
      <c r="J139" s="2">
        <v>43995</v>
      </c>
      <c r="K139" t="s">
        <v>482</v>
      </c>
    </row>
    <row r="140" spans="1:11">
      <c r="A140">
        <v>139</v>
      </c>
      <c r="B140">
        <v>169597384</v>
      </c>
      <c r="C140" t="s">
        <v>320</v>
      </c>
      <c r="D140" t="s">
        <v>320</v>
      </c>
      <c r="E140" s="8" t="s">
        <v>249</v>
      </c>
      <c r="F140" t="s">
        <v>272</v>
      </c>
      <c r="G140" t="s">
        <v>504</v>
      </c>
      <c r="H140" t="s">
        <v>1070</v>
      </c>
      <c r="I140" s="2">
        <v>43699</v>
      </c>
      <c r="J140" s="2">
        <v>43996</v>
      </c>
      <c r="K140" t="s">
        <v>482</v>
      </c>
    </row>
    <row r="141" spans="1:11">
      <c r="A141">
        <v>140</v>
      </c>
      <c r="B141">
        <v>169597351</v>
      </c>
      <c r="C141" t="s">
        <v>922</v>
      </c>
      <c r="D141" t="s">
        <v>1068</v>
      </c>
      <c r="E141" s="8"/>
      <c r="F141" t="s">
        <v>272</v>
      </c>
      <c r="G141" t="s">
        <v>504</v>
      </c>
      <c r="H141" t="s">
        <v>1070</v>
      </c>
      <c r="I141" s="2">
        <v>43700</v>
      </c>
      <c r="J141" s="2">
        <v>43997</v>
      </c>
      <c r="K141" t="s">
        <v>482</v>
      </c>
    </row>
    <row r="142" spans="1:11">
      <c r="A142">
        <v>141</v>
      </c>
      <c r="B142">
        <v>169597474</v>
      </c>
      <c r="C142" t="s">
        <v>320</v>
      </c>
      <c r="D142" t="s">
        <v>320</v>
      </c>
      <c r="E142" s="8" t="s">
        <v>249</v>
      </c>
      <c r="F142" t="s">
        <v>272</v>
      </c>
      <c r="G142" t="s">
        <v>504</v>
      </c>
      <c r="H142" t="s">
        <v>1070</v>
      </c>
      <c r="I142" s="2">
        <v>43701</v>
      </c>
      <c r="J142" s="2">
        <v>43998</v>
      </c>
      <c r="K142" t="s">
        <v>482</v>
      </c>
    </row>
    <row r="143" spans="1:11">
      <c r="A143">
        <v>142</v>
      </c>
      <c r="B143">
        <v>169597420</v>
      </c>
      <c r="C143" t="s">
        <v>320</v>
      </c>
      <c r="D143" t="s">
        <v>320</v>
      </c>
      <c r="E143" s="8" t="s">
        <v>249</v>
      </c>
      <c r="F143" t="s">
        <v>272</v>
      </c>
      <c r="G143" t="s">
        <v>504</v>
      </c>
      <c r="H143" t="s">
        <v>1070</v>
      </c>
      <c r="I143" s="2">
        <v>43702</v>
      </c>
      <c r="J143" s="2">
        <v>43999</v>
      </c>
      <c r="K143" t="s">
        <v>482</v>
      </c>
    </row>
    <row r="144" spans="1:11">
      <c r="A144">
        <v>143</v>
      </c>
      <c r="B144">
        <v>169597252</v>
      </c>
      <c r="C144" t="s">
        <v>357</v>
      </c>
      <c r="D144" t="s">
        <v>357</v>
      </c>
      <c r="E144" s="8" t="s">
        <v>249</v>
      </c>
      <c r="F144" t="s">
        <v>272</v>
      </c>
      <c r="G144" t="s">
        <v>504</v>
      </c>
      <c r="H144" t="s">
        <v>1070</v>
      </c>
      <c r="I144" s="2">
        <v>43703</v>
      </c>
      <c r="J144" s="2">
        <v>44000</v>
      </c>
      <c r="K144" t="s">
        <v>482</v>
      </c>
    </row>
    <row r="145" spans="1:11">
      <c r="A145">
        <v>144</v>
      </c>
      <c r="B145">
        <v>169597354</v>
      </c>
      <c r="C145" t="s">
        <v>400</v>
      </c>
      <c r="D145" t="s">
        <v>1068</v>
      </c>
      <c r="E145" s="8" t="s">
        <v>250</v>
      </c>
      <c r="F145" t="s">
        <v>1108</v>
      </c>
      <c r="G145" t="s">
        <v>504</v>
      </c>
      <c r="H145" t="s">
        <v>1070</v>
      </c>
      <c r="I145" s="2">
        <v>43704</v>
      </c>
      <c r="J145" s="2">
        <v>44001</v>
      </c>
      <c r="K145" t="s">
        <v>482</v>
      </c>
    </row>
    <row r="146" spans="1:11">
      <c r="A146">
        <v>145</v>
      </c>
      <c r="B146">
        <v>169597126</v>
      </c>
      <c r="C146" t="s">
        <v>372</v>
      </c>
      <c r="D146" t="s">
        <v>401</v>
      </c>
      <c r="E146" s="8" t="s">
        <v>251</v>
      </c>
      <c r="F146" t="s">
        <v>1108</v>
      </c>
      <c r="G146" t="s">
        <v>504</v>
      </c>
      <c r="H146" t="s">
        <v>1070</v>
      </c>
      <c r="I146" s="2">
        <v>43705</v>
      </c>
      <c r="J146" s="2">
        <v>44002</v>
      </c>
      <c r="K146" t="s">
        <v>482</v>
      </c>
    </row>
    <row r="147" spans="1:11">
      <c r="A147">
        <v>146</v>
      </c>
      <c r="B147">
        <v>169597060</v>
      </c>
      <c r="C147" t="s">
        <v>678</v>
      </c>
      <c r="D147" t="s">
        <v>678</v>
      </c>
      <c r="E147" s="8" t="s">
        <v>251</v>
      </c>
      <c r="F147" t="s">
        <v>1108</v>
      </c>
      <c r="G147" t="s">
        <v>504</v>
      </c>
      <c r="H147" t="s">
        <v>1070</v>
      </c>
      <c r="I147" s="2">
        <v>43706</v>
      </c>
      <c r="J147" s="2">
        <v>44003</v>
      </c>
      <c r="K147" t="s">
        <v>482</v>
      </c>
    </row>
    <row r="148" spans="1:11">
      <c r="A148">
        <v>147</v>
      </c>
      <c r="B148">
        <v>169597429</v>
      </c>
      <c r="C148" t="s">
        <v>401</v>
      </c>
      <c r="D148" t="s">
        <v>401</v>
      </c>
      <c r="E148" s="8" t="s">
        <v>252</v>
      </c>
      <c r="F148" t="s">
        <v>273</v>
      </c>
      <c r="G148" t="s">
        <v>504</v>
      </c>
      <c r="H148" t="s">
        <v>1070</v>
      </c>
      <c r="I148" s="2">
        <v>43707</v>
      </c>
      <c r="J148" s="2">
        <v>44004</v>
      </c>
      <c r="K148" t="s">
        <v>482</v>
      </c>
    </row>
    <row r="149" spans="1:11">
      <c r="A149">
        <v>148</v>
      </c>
      <c r="B149">
        <v>169597075</v>
      </c>
      <c r="C149" t="s">
        <v>303</v>
      </c>
      <c r="D149" t="s">
        <v>303</v>
      </c>
      <c r="E149" s="8" t="s">
        <v>253</v>
      </c>
      <c r="F149" t="s">
        <v>277</v>
      </c>
      <c r="G149" t="s">
        <v>504</v>
      </c>
      <c r="H149" t="s">
        <v>1070</v>
      </c>
      <c r="I149" s="2">
        <v>43708</v>
      </c>
      <c r="J149" s="2">
        <v>44005</v>
      </c>
      <c r="K149" t="s">
        <v>482</v>
      </c>
    </row>
    <row r="150" spans="1:11">
      <c r="A150">
        <v>149</v>
      </c>
      <c r="B150">
        <v>169597195</v>
      </c>
      <c r="C150" t="s">
        <v>402</v>
      </c>
      <c r="D150" t="s">
        <v>1042</v>
      </c>
      <c r="E150" s="8" t="s">
        <v>254</v>
      </c>
      <c r="F150" t="s">
        <v>272</v>
      </c>
      <c r="G150" t="s">
        <v>504</v>
      </c>
      <c r="H150" t="s">
        <v>1070</v>
      </c>
      <c r="I150" s="2">
        <v>43709</v>
      </c>
      <c r="J150" s="2">
        <v>44006</v>
      </c>
      <c r="K150" t="s">
        <v>482</v>
      </c>
    </row>
    <row r="151" spans="1:11">
      <c r="A151">
        <v>150</v>
      </c>
      <c r="B151">
        <v>169597216</v>
      </c>
      <c r="C151" t="s">
        <v>678</v>
      </c>
      <c r="D151" t="s">
        <v>678</v>
      </c>
      <c r="E151" s="8" t="s">
        <v>777</v>
      </c>
      <c r="F151" t="s">
        <v>272</v>
      </c>
      <c r="G151" t="s">
        <v>504</v>
      </c>
      <c r="H151" t="s">
        <v>1070</v>
      </c>
      <c r="I151" s="2">
        <v>43710</v>
      </c>
      <c r="J151" s="2">
        <v>44007</v>
      </c>
      <c r="K151" t="s">
        <v>482</v>
      </c>
    </row>
    <row r="152" spans="1:11">
      <c r="A152">
        <v>151</v>
      </c>
      <c r="B152">
        <v>169597066</v>
      </c>
      <c r="C152" t="s">
        <v>320</v>
      </c>
      <c r="D152" t="s">
        <v>320</v>
      </c>
      <c r="E152" s="8" t="s">
        <v>777</v>
      </c>
      <c r="F152" t="s">
        <v>272</v>
      </c>
      <c r="G152" t="s">
        <v>504</v>
      </c>
      <c r="H152" t="s">
        <v>1070</v>
      </c>
      <c r="I152" s="2">
        <v>43711</v>
      </c>
      <c r="J152" s="2">
        <v>44008</v>
      </c>
      <c r="K152" t="s">
        <v>482</v>
      </c>
    </row>
    <row r="153" spans="1:11">
      <c r="A153">
        <v>152</v>
      </c>
      <c r="B153">
        <v>168101240</v>
      </c>
      <c r="C153" t="s">
        <v>357</v>
      </c>
      <c r="D153" t="s">
        <v>357</v>
      </c>
      <c r="E153" s="8" t="s">
        <v>776</v>
      </c>
      <c r="F153" t="s">
        <v>272</v>
      </c>
      <c r="G153" t="s">
        <v>504</v>
      </c>
      <c r="H153" t="s">
        <v>1070</v>
      </c>
      <c r="I153" s="2">
        <v>43712</v>
      </c>
      <c r="J153" s="2">
        <v>44009</v>
      </c>
      <c r="K153" t="s">
        <v>482</v>
      </c>
    </row>
    <row r="154" spans="1:11">
      <c r="A154">
        <v>153</v>
      </c>
      <c r="B154">
        <v>169597339</v>
      </c>
      <c r="C154" t="s">
        <v>320</v>
      </c>
      <c r="D154" t="s">
        <v>320</v>
      </c>
      <c r="E154" s="8" t="s">
        <v>776</v>
      </c>
      <c r="F154" t="s">
        <v>272</v>
      </c>
      <c r="G154" t="s">
        <v>504</v>
      </c>
      <c r="H154" t="s">
        <v>1070</v>
      </c>
      <c r="I154" s="2">
        <v>43713</v>
      </c>
      <c r="J154" s="2">
        <v>44010</v>
      </c>
      <c r="K154" t="s">
        <v>482</v>
      </c>
    </row>
    <row r="155" spans="1:11">
      <c r="A155">
        <v>154</v>
      </c>
      <c r="B155">
        <v>169596514</v>
      </c>
      <c r="C155" t="s">
        <v>1017</v>
      </c>
      <c r="D155" t="s">
        <v>363</v>
      </c>
      <c r="E155" s="8" t="s">
        <v>776</v>
      </c>
      <c r="F155" t="s">
        <v>272</v>
      </c>
      <c r="G155" t="s">
        <v>504</v>
      </c>
      <c r="H155" t="s">
        <v>1070</v>
      </c>
      <c r="I155" s="2">
        <v>43714</v>
      </c>
      <c r="J155" s="2">
        <v>44011</v>
      </c>
      <c r="K155" t="s">
        <v>482</v>
      </c>
    </row>
    <row r="156" spans="1:11">
      <c r="A156">
        <v>155</v>
      </c>
      <c r="B156">
        <v>169597048</v>
      </c>
      <c r="C156" t="s">
        <v>357</v>
      </c>
      <c r="D156" t="s">
        <v>357</v>
      </c>
      <c r="E156" s="8" t="s">
        <v>776</v>
      </c>
      <c r="F156" t="s">
        <v>272</v>
      </c>
      <c r="G156" t="s">
        <v>504</v>
      </c>
      <c r="H156" t="s">
        <v>1070</v>
      </c>
      <c r="I156" s="2">
        <v>43715</v>
      </c>
      <c r="J156" s="2">
        <v>44012</v>
      </c>
      <c r="K156" t="s">
        <v>482</v>
      </c>
    </row>
    <row r="157" spans="1:11">
      <c r="A157">
        <v>156</v>
      </c>
      <c r="B157">
        <v>169597366</v>
      </c>
      <c r="C157" t="s">
        <v>357</v>
      </c>
      <c r="D157" t="s">
        <v>357</v>
      </c>
      <c r="E157" s="8" t="s">
        <v>776</v>
      </c>
      <c r="F157" t="s">
        <v>272</v>
      </c>
      <c r="G157" t="s">
        <v>504</v>
      </c>
      <c r="H157" t="s">
        <v>1070</v>
      </c>
      <c r="I157" s="2">
        <v>43716</v>
      </c>
      <c r="J157" s="2">
        <v>44013</v>
      </c>
      <c r="K157" t="s">
        <v>482</v>
      </c>
    </row>
    <row r="158" spans="1:11">
      <c r="A158">
        <v>157</v>
      </c>
      <c r="B158">
        <v>169597072</v>
      </c>
      <c r="C158" t="s">
        <v>678</v>
      </c>
      <c r="D158" t="s">
        <v>678</v>
      </c>
      <c r="E158" s="8" t="s">
        <v>255</v>
      </c>
      <c r="F158" t="s">
        <v>274</v>
      </c>
      <c r="G158" t="s">
        <v>504</v>
      </c>
      <c r="H158" t="s">
        <v>1070</v>
      </c>
      <c r="I158" s="2">
        <v>43717</v>
      </c>
      <c r="J158" s="2">
        <v>44014</v>
      </c>
      <c r="K158" t="s">
        <v>482</v>
      </c>
    </row>
    <row r="159" spans="1:11">
      <c r="A159">
        <v>158</v>
      </c>
      <c r="B159">
        <v>169597111</v>
      </c>
      <c r="C159" t="s">
        <v>678</v>
      </c>
      <c r="D159" t="s">
        <v>678</v>
      </c>
      <c r="E159" s="8"/>
      <c r="F159" t="s">
        <v>274</v>
      </c>
      <c r="G159" t="s">
        <v>504</v>
      </c>
      <c r="H159" t="s">
        <v>1070</v>
      </c>
      <c r="I159" s="2">
        <v>43718</v>
      </c>
      <c r="J159" s="2">
        <v>44015</v>
      </c>
      <c r="K159" t="s">
        <v>482</v>
      </c>
    </row>
    <row r="160" spans="1:11">
      <c r="A160">
        <v>159</v>
      </c>
      <c r="B160">
        <v>169597255</v>
      </c>
      <c r="C160" t="s">
        <v>320</v>
      </c>
      <c r="D160" t="s">
        <v>320</v>
      </c>
      <c r="E160" s="8" t="s">
        <v>256</v>
      </c>
      <c r="F160" t="s">
        <v>272</v>
      </c>
      <c r="G160" t="s">
        <v>504</v>
      </c>
      <c r="H160" t="s">
        <v>1070</v>
      </c>
      <c r="I160" s="2">
        <v>43719</v>
      </c>
      <c r="J160" s="2">
        <v>44016</v>
      </c>
      <c r="K160" t="s">
        <v>482</v>
      </c>
    </row>
    <row r="161" spans="1:11">
      <c r="A161">
        <v>160</v>
      </c>
      <c r="B161">
        <v>169597180</v>
      </c>
      <c r="C161" t="s">
        <v>320</v>
      </c>
      <c r="D161" t="s">
        <v>320</v>
      </c>
      <c r="E161" s="8" t="s">
        <v>256</v>
      </c>
      <c r="F161" t="s">
        <v>272</v>
      </c>
      <c r="G161" t="s">
        <v>504</v>
      </c>
      <c r="H161" t="s">
        <v>1070</v>
      </c>
      <c r="I161" s="2">
        <v>43720</v>
      </c>
      <c r="J161" s="2">
        <v>44017</v>
      </c>
      <c r="K161" t="s">
        <v>482</v>
      </c>
    </row>
    <row r="162" spans="1:11">
      <c r="A162">
        <v>161</v>
      </c>
      <c r="B162">
        <v>169597231</v>
      </c>
      <c r="C162" t="s">
        <v>926</v>
      </c>
      <c r="D162" t="s">
        <v>1041</v>
      </c>
      <c r="E162" s="8" t="s">
        <v>256</v>
      </c>
      <c r="F162" t="s">
        <v>272</v>
      </c>
      <c r="G162" t="s">
        <v>504</v>
      </c>
      <c r="H162" t="s">
        <v>1070</v>
      </c>
      <c r="I162" s="2">
        <v>43721</v>
      </c>
      <c r="J162" s="2">
        <v>44018</v>
      </c>
      <c r="K162" t="s">
        <v>482</v>
      </c>
    </row>
    <row r="163" spans="1:11">
      <c r="A163">
        <v>162</v>
      </c>
      <c r="B163">
        <v>168100517</v>
      </c>
      <c r="C163" t="s">
        <v>357</v>
      </c>
      <c r="D163" t="s">
        <v>357</v>
      </c>
      <c r="E163" s="8" t="s">
        <v>257</v>
      </c>
      <c r="F163" t="s">
        <v>272</v>
      </c>
      <c r="G163" t="s">
        <v>504</v>
      </c>
      <c r="H163" t="s">
        <v>1070</v>
      </c>
      <c r="I163" s="2">
        <v>43722</v>
      </c>
      <c r="J163" s="2">
        <v>44019</v>
      </c>
      <c r="K163" t="s">
        <v>482</v>
      </c>
    </row>
    <row r="164" spans="1:11">
      <c r="A164">
        <v>163</v>
      </c>
      <c r="B164">
        <v>169596493</v>
      </c>
      <c r="C164" t="s">
        <v>320</v>
      </c>
      <c r="D164" t="s">
        <v>320</v>
      </c>
      <c r="E164" s="8" t="s">
        <v>257</v>
      </c>
      <c r="F164" t="s">
        <v>272</v>
      </c>
      <c r="G164" t="s">
        <v>504</v>
      </c>
      <c r="H164" t="s">
        <v>1070</v>
      </c>
      <c r="I164" s="2">
        <v>43723</v>
      </c>
      <c r="J164" s="2">
        <v>43959</v>
      </c>
      <c r="K164" t="s">
        <v>482</v>
      </c>
    </row>
    <row r="165" spans="1:11">
      <c r="A165">
        <v>164</v>
      </c>
      <c r="B165">
        <v>169597165</v>
      </c>
      <c r="C165" t="s">
        <v>320</v>
      </c>
      <c r="D165" t="s">
        <v>320</v>
      </c>
      <c r="E165" s="8" t="s">
        <v>257</v>
      </c>
      <c r="F165" t="s">
        <v>272</v>
      </c>
      <c r="G165" t="s">
        <v>504</v>
      </c>
      <c r="H165" t="s">
        <v>1070</v>
      </c>
      <c r="I165" s="2">
        <v>43724</v>
      </c>
      <c r="J165" s="2">
        <v>43960</v>
      </c>
      <c r="K165" t="s">
        <v>482</v>
      </c>
    </row>
    <row r="166" spans="1:11">
      <c r="A166">
        <v>165</v>
      </c>
      <c r="B166">
        <v>169597237</v>
      </c>
      <c r="C166" t="s">
        <v>357</v>
      </c>
      <c r="D166" t="s">
        <v>357</v>
      </c>
      <c r="E166" s="8" t="s">
        <v>257</v>
      </c>
      <c r="F166" t="s">
        <v>272</v>
      </c>
      <c r="G166" t="s">
        <v>504</v>
      </c>
      <c r="H166" t="s">
        <v>1070</v>
      </c>
      <c r="I166" s="2">
        <v>43725</v>
      </c>
      <c r="J166" s="2">
        <v>43961</v>
      </c>
      <c r="K166" t="s">
        <v>482</v>
      </c>
    </row>
    <row r="167" spans="1:11">
      <c r="A167">
        <v>166</v>
      </c>
      <c r="B167">
        <v>168100304</v>
      </c>
      <c r="C167" t="s">
        <v>320</v>
      </c>
      <c r="D167" t="s">
        <v>320</v>
      </c>
      <c r="E167" s="8" t="s">
        <v>257</v>
      </c>
      <c r="F167" t="s">
        <v>272</v>
      </c>
      <c r="G167" t="s">
        <v>504</v>
      </c>
      <c r="H167" t="s">
        <v>1070</v>
      </c>
      <c r="I167" s="2">
        <v>43726</v>
      </c>
      <c r="J167" s="2">
        <v>43962</v>
      </c>
      <c r="K167" t="s">
        <v>482</v>
      </c>
    </row>
    <row r="168" spans="1:11">
      <c r="A168">
        <v>167</v>
      </c>
      <c r="B168">
        <v>166551649</v>
      </c>
      <c r="C168" t="s">
        <v>997</v>
      </c>
      <c r="D168" t="s">
        <v>1042</v>
      </c>
      <c r="E168" s="8" t="s">
        <v>257</v>
      </c>
      <c r="F168" t="s">
        <v>272</v>
      </c>
      <c r="G168" t="s">
        <v>504</v>
      </c>
      <c r="H168" t="s">
        <v>1070</v>
      </c>
      <c r="I168" s="2">
        <v>43727</v>
      </c>
      <c r="J168" s="2">
        <v>43963</v>
      </c>
      <c r="K168" t="s">
        <v>482</v>
      </c>
    </row>
    <row r="169" spans="1:11">
      <c r="A169">
        <v>168</v>
      </c>
      <c r="B169">
        <v>169597423</v>
      </c>
      <c r="C169" t="s">
        <v>357</v>
      </c>
      <c r="D169" t="s">
        <v>357</v>
      </c>
      <c r="E169" s="8" t="s">
        <v>257</v>
      </c>
      <c r="F169" t="s">
        <v>272</v>
      </c>
      <c r="G169" t="s">
        <v>504</v>
      </c>
      <c r="H169" t="s">
        <v>1070</v>
      </c>
      <c r="I169" s="2">
        <v>43728</v>
      </c>
      <c r="J169" s="2">
        <v>43964</v>
      </c>
      <c r="K169" t="s">
        <v>482</v>
      </c>
    </row>
    <row r="170" spans="1:11">
      <c r="A170">
        <v>169</v>
      </c>
      <c r="B170">
        <v>169597417</v>
      </c>
      <c r="C170" t="s">
        <v>678</v>
      </c>
      <c r="D170" t="s">
        <v>678</v>
      </c>
      <c r="E170" s="8" t="s">
        <v>787</v>
      </c>
      <c r="F170" t="s">
        <v>272</v>
      </c>
      <c r="G170" t="s">
        <v>504</v>
      </c>
      <c r="H170" t="s">
        <v>1070</v>
      </c>
      <c r="I170" s="2">
        <v>43729</v>
      </c>
      <c r="J170" s="2">
        <v>43965</v>
      </c>
      <c r="K170" t="s">
        <v>482</v>
      </c>
    </row>
    <row r="171" spans="1:11">
      <c r="A171">
        <v>170</v>
      </c>
      <c r="B171">
        <v>169597081</v>
      </c>
      <c r="C171" t="s">
        <v>678</v>
      </c>
      <c r="D171" t="s">
        <v>678</v>
      </c>
      <c r="E171" s="8" t="s">
        <v>787</v>
      </c>
      <c r="F171" t="s">
        <v>272</v>
      </c>
      <c r="G171" t="s">
        <v>504</v>
      </c>
      <c r="H171" t="s">
        <v>1070</v>
      </c>
      <c r="I171" s="2">
        <v>43730</v>
      </c>
      <c r="J171" s="2">
        <v>43966</v>
      </c>
      <c r="K171" t="s">
        <v>482</v>
      </c>
    </row>
    <row r="172" spans="1:11">
      <c r="A172">
        <v>171</v>
      </c>
      <c r="B172">
        <v>169597378</v>
      </c>
      <c r="C172" t="s">
        <v>403</v>
      </c>
      <c r="D172" t="s">
        <v>1041</v>
      </c>
      <c r="E172" s="8" t="s">
        <v>788</v>
      </c>
      <c r="F172" t="s">
        <v>1108</v>
      </c>
      <c r="G172" t="s">
        <v>504</v>
      </c>
      <c r="H172" t="s">
        <v>1070</v>
      </c>
      <c r="I172" s="2">
        <v>43731</v>
      </c>
      <c r="J172" s="2">
        <v>43967</v>
      </c>
      <c r="K172" t="s">
        <v>482</v>
      </c>
    </row>
    <row r="173" spans="1:11">
      <c r="A173">
        <v>172</v>
      </c>
      <c r="B173">
        <v>169597117</v>
      </c>
      <c r="C173" t="s">
        <v>306</v>
      </c>
      <c r="D173" t="s">
        <v>306</v>
      </c>
      <c r="E173" s="8" t="s">
        <v>258</v>
      </c>
      <c r="F173" t="s">
        <v>1108</v>
      </c>
      <c r="G173" t="s">
        <v>504</v>
      </c>
      <c r="H173" t="s">
        <v>1070</v>
      </c>
      <c r="I173" s="2">
        <v>43732</v>
      </c>
      <c r="J173" s="2">
        <v>43968</v>
      </c>
      <c r="K173" t="s">
        <v>482</v>
      </c>
    </row>
    <row r="174" spans="1:11">
      <c r="A174">
        <v>173</v>
      </c>
      <c r="B174">
        <v>169597462</v>
      </c>
      <c r="C174" t="s">
        <v>306</v>
      </c>
      <c r="D174" t="s">
        <v>306</v>
      </c>
      <c r="E174" s="8" t="s">
        <v>259</v>
      </c>
      <c r="F174" t="s">
        <v>1108</v>
      </c>
      <c r="G174" t="s">
        <v>504</v>
      </c>
      <c r="H174" t="s">
        <v>1070</v>
      </c>
      <c r="I174" s="2">
        <v>43733</v>
      </c>
      <c r="J174" s="2">
        <v>43969</v>
      </c>
      <c r="K174" t="s">
        <v>482</v>
      </c>
    </row>
    <row r="175" spans="1:11">
      <c r="A175">
        <v>174</v>
      </c>
      <c r="B175">
        <v>166551653</v>
      </c>
      <c r="C175" t="s">
        <v>320</v>
      </c>
      <c r="D175" t="s">
        <v>320</v>
      </c>
      <c r="E175" s="8" t="s">
        <v>260</v>
      </c>
      <c r="F175" t="s">
        <v>1108</v>
      </c>
      <c r="G175" t="s">
        <v>504</v>
      </c>
      <c r="H175" t="s">
        <v>1070</v>
      </c>
      <c r="I175" s="2">
        <v>43734</v>
      </c>
      <c r="J175" s="2">
        <v>43970</v>
      </c>
      <c r="K175" t="s">
        <v>482</v>
      </c>
    </row>
    <row r="176" spans="1:11">
      <c r="A176">
        <v>175</v>
      </c>
      <c r="B176">
        <v>169597453</v>
      </c>
      <c r="C176" t="s">
        <v>405</v>
      </c>
      <c r="D176" t="s">
        <v>1068</v>
      </c>
      <c r="E176" s="8" t="s">
        <v>261</v>
      </c>
      <c r="F176" t="s">
        <v>272</v>
      </c>
      <c r="G176" t="s">
        <v>504</v>
      </c>
      <c r="H176" t="s">
        <v>1070</v>
      </c>
      <c r="I176" s="2">
        <v>43735</v>
      </c>
      <c r="J176" s="2">
        <v>43971</v>
      </c>
      <c r="K176" t="s">
        <v>482</v>
      </c>
    </row>
    <row r="177" spans="1:11">
      <c r="A177">
        <v>176</v>
      </c>
      <c r="B177">
        <v>169597438</v>
      </c>
      <c r="C177" t="s">
        <v>357</v>
      </c>
      <c r="D177" t="s">
        <v>357</v>
      </c>
      <c r="E177" s="8" t="s">
        <v>261</v>
      </c>
      <c r="F177" t="s">
        <v>272</v>
      </c>
      <c r="G177" t="s">
        <v>504</v>
      </c>
      <c r="H177" t="s">
        <v>1070</v>
      </c>
      <c r="I177" s="2">
        <v>43736</v>
      </c>
      <c r="J177" s="2">
        <v>43972</v>
      </c>
      <c r="K177" t="s">
        <v>482</v>
      </c>
    </row>
    <row r="178" spans="1:11">
      <c r="A178">
        <v>177</v>
      </c>
      <c r="B178">
        <v>169597084</v>
      </c>
      <c r="C178" t="s">
        <v>357</v>
      </c>
      <c r="D178" t="s">
        <v>357</v>
      </c>
      <c r="E178" s="8" t="s">
        <v>262</v>
      </c>
      <c r="F178" t="s">
        <v>272</v>
      </c>
      <c r="G178" t="s">
        <v>504</v>
      </c>
      <c r="H178" t="s">
        <v>1070</v>
      </c>
      <c r="I178" s="2">
        <v>43737</v>
      </c>
      <c r="J178" s="2">
        <v>43973</v>
      </c>
      <c r="K178" t="s">
        <v>482</v>
      </c>
    </row>
    <row r="179" spans="1:11">
      <c r="A179">
        <v>178</v>
      </c>
      <c r="B179">
        <v>169597465</v>
      </c>
      <c r="C179" t="s">
        <v>678</v>
      </c>
      <c r="D179" t="s">
        <v>678</v>
      </c>
      <c r="E179" s="8" t="s">
        <v>732</v>
      </c>
      <c r="F179" t="s">
        <v>1108</v>
      </c>
      <c r="G179" t="s">
        <v>504</v>
      </c>
      <c r="H179" t="s">
        <v>1070</v>
      </c>
      <c r="I179" s="2">
        <v>43738</v>
      </c>
      <c r="J179" s="2">
        <v>43974</v>
      </c>
      <c r="K179" t="s">
        <v>482</v>
      </c>
    </row>
    <row r="180" spans="1:11">
      <c r="A180">
        <v>179</v>
      </c>
      <c r="B180">
        <v>169597450</v>
      </c>
      <c r="C180" t="s">
        <v>357</v>
      </c>
      <c r="D180" t="s">
        <v>357</v>
      </c>
      <c r="E180" s="8" t="s">
        <v>767</v>
      </c>
      <c r="F180" t="s">
        <v>1108</v>
      </c>
      <c r="G180" t="s">
        <v>504</v>
      </c>
      <c r="H180" t="s">
        <v>1070</v>
      </c>
      <c r="I180" s="2">
        <v>43739</v>
      </c>
      <c r="J180" s="2">
        <v>43975</v>
      </c>
      <c r="K180" t="s">
        <v>482</v>
      </c>
    </row>
    <row r="181" spans="1:11">
      <c r="A181">
        <v>180</v>
      </c>
      <c r="B181">
        <v>169597102</v>
      </c>
      <c r="C181" t="s">
        <v>678</v>
      </c>
      <c r="D181" t="s">
        <v>678</v>
      </c>
      <c r="E181" s="8" t="s">
        <v>263</v>
      </c>
      <c r="F181" t="s">
        <v>1108</v>
      </c>
      <c r="G181" t="s">
        <v>504</v>
      </c>
      <c r="H181" t="s">
        <v>1070</v>
      </c>
      <c r="I181" s="2">
        <v>43740</v>
      </c>
      <c r="J181" s="2">
        <v>43976</v>
      </c>
      <c r="K181" t="s">
        <v>482</v>
      </c>
    </row>
    <row r="182" spans="1:11">
      <c r="A182">
        <v>181</v>
      </c>
      <c r="B182">
        <v>166551647</v>
      </c>
      <c r="C182" t="s">
        <v>951</v>
      </c>
      <c r="D182" t="s">
        <v>1042</v>
      </c>
      <c r="E182" s="8" t="s">
        <v>264</v>
      </c>
      <c r="F182" t="s">
        <v>1108</v>
      </c>
      <c r="G182" t="s">
        <v>504</v>
      </c>
      <c r="H182" t="s">
        <v>1070</v>
      </c>
      <c r="I182" s="2">
        <v>43741</v>
      </c>
      <c r="J182" s="2">
        <v>43977</v>
      </c>
      <c r="K182" t="s">
        <v>482</v>
      </c>
    </row>
    <row r="183" spans="1:11">
      <c r="A183">
        <v>182</v>
      </c>
      <c r="B183">
        <v>166551693</v>
      </c>
      <c r="C183" t="s">
        <v>981</v>
      </c>
      <c r="D183" t="s">
        <v>1042</v>
      </c>
      <c r="E183" s="8" t="s">
        <v>424</v>
      </c>
      <c r="F183" t="s">
        <v>272</v>
      </c>
      <c r="G183" t="s">
        <v>504</v>
      </c>
      <c r="H183" t="s">
        <v>1070</v>
      </c>
      <c r="I183" s="2">
        <v>43742</v>
      </c>
      <c r="J183" s="2">
        <v>43978</v>
      </c>
      <c r="K183" t="s">
        <v>482</v>
      </c>
    </row>
    <row r="184" spans="1:11">
      <c r="A184">
        <v>183</v>
      </c>
      <c r="B184">
        <v>148537362</v>
      </c>
      <c r="C184" t="s">
        <v>404</v>
      </c>
      <c r="D184" t="s">
        <v>1041</v>
      </c>
      <c r="E184" s="8" t="s">
        <v>7</v>
      </c>
      <c r="F184" t="s">
        <v>1108</v>
      </c>
      <c r="G184" t="s">
        <v>494</v>
      </c>
      <c r="H184" t="s">
        <v>1070</v>
      </c>
      <c r="I184" s="2">
        <v>43743</v>
      </c>
      <c r="J184" s="2">
        <v>43979</v>
      </c>
      <c r="K184" t="s">
        <v>482</v>
      </c>
    </row>
    <row r="185" spans="1:11">
      <c r="A185">
        <v>184</v>
      </c>
      <c r="B185">
        <v>169597468</v>
      </c>
      <c r="C185" t="s">
        <v>320</v>
      </c>
      <c r="D185" t="s">
        <v>320</v>
      </c>
      <c r="E185" s="8" t="s">
        <v>7</v>
      </c>
      <c r="F185" t="s">
        <v>1108</v>
      </c>
      <c r="G185" t="s">
        <v>494</v>
      </c>
      <c r="H185" t="s">
        <v>1070</v>
      </c>
      <c r="I185" s="2">
        <v>43744</v>
      </c>
      <c r="J185" s="2">
        <v>43980</v>
      </c>
      <c r="K185" t="s">
        <v>482</v>
      </c>
    </row>
    <row r="186" spans="1:11">
      <c r="A186">
        <v>185</v>
      </c>
      <c r="B186">
        <v>169597141</v>
      </c>
      <c r="C186" t="s">
        <v>346</v>
      </c>
      <c r="D186" t="s">
        <v>346</v>
      </c>
      <c r="E186" s="8" t="s">
        <v>265</v>
      </c>
      <c r="F186" t="s">
        <v>276</v>
      </c>
      <c r="G186" t="s">
        <v>494</v>
      </c>
      <c r="H186" t="s">
        <v>1070</v>
      </c>
      <c r="I186" s="2">
        <v>43745</v>
      </c>
      <c r="J186" s="2">
        <v>43981</v>
      </c>
      <c r="K186" t="s">
        <v>482</v>
      </c>
    </row>
    <row r="187" spans="1:11">
      <c r="A187">
        <v>186</v>
      </c>
      <c r="B187">
        <v>169597120</v>
      </c>
      <c r="C187" t="s">
        <v>678</v>
      </c>
      <c r="D187" t="s">
        <v>678</v>
      </c>
      <c r="E187" s="8" t="s">
        <v>266</v>
      </c>
      <c r="F187" t="s">
        <v>1108</v>
      </c>
      <c r="G187" t="s">
        <v>494</v>
      </c>
      <c r="H187" t="s">
        <v>1070</v>
      </c>
      <c r="I187" s="2">
        <v>43746</v>
      </c>
      <c r="J187" s="2">
        <v>43982</v>
      </c>
      <c r="K187" t="s">
        <v>482</v>
      </c>
    </row>
    <row r="188" spans="1:11">
      <c r="A188">
        <v>187</v>
      </c>
      <c r="B188">
        <v>169597360</v>
      </c>
      <c r="C188" t="s">
        <v>320</v>
      </c>
      <c r="D188" t="s">
        <v>320</v>
      </c>
      <c r="E188" s="8" t="s">
        <v>267</v>
      </c>
      <c r="F188" t="s">
        <v>1108</v>
      </c>
      <c r="G188" t="s">
        <v>494</v>
      </c>
      <c r="H188" t="s">
        <v>1070</v>
      </c>
      <c r="I188" s="2">
        <v>43747</v>
      </c>
      <c r="J188" s="2">
        <v>43983</v>
      </c>
      <c r="K188" t="s">
        <v>482</v>
      </c>
    </row>
    <row r="189" spans="1:11">
      <c r="A189">
        <v>188</v>
      </c>
      <c r="B189">
        <v>169597222</v>
      </c>
      <c r="C189" t="s">
        <v>678</v>
      </c>
      <c r="D189" t="s">
        <v>678</v>
      </c>
      <c r="E189" s="8" t="s">
        <v>733</v>
      </c>
      <c r="F189" t="s">
        <v>1108</v>
      </c>
      <c r="G189" t="s">
        <v>494</v>
      </c>
      <c r="H189" t="s">
        <v>1070</v>
      </c>
      <c r="I189" s="2">
        <v>43748</v>
      </c>
      <c r="J189" s="2">
        <v>43984</v>
      </c>
      <c r="K189" t="s">
        <v>482</v>
      </c>
    </row>
    <row r="190" spans="1:11">
      <c r="A190">
        <v>189</v>
      </c>
      <c r="B190">
        <v>169597219</v>
      </c>
      <c r="C190" t="s">
        <v>320</v>
      </c>
      <c r="D190" t="s">
        <v>320</v>
      </c>
      <c r="E190" s="8" t="s">
        <v>734</v>
      </c>
      <c r="F190" t="s">
        <v>1108</v>
      </c>
      <c r="G190" t="s">
        <v>494</v>
      </c>
      <c r="H190" t="s">
        <v>1070</v>
      </c>
      <c r="I190" s="2">
        <v>43749</v>
      </c>
      <c r="J190" s="2">
        <v>43985</v>
      </c>
      <c r="K190" t="s">
        <v>482</v>
      </c>
    </row>
    <row r="191" spans="1:11">
      <c r="A191">
        <v>190</v>
      </c>
      <c r="B191">
        <v>169597432</v>
      </c>
      <c r="C191" t="s">
        <v>944</v>
      </c>
      <c r="D191" t="s">
        <v>1068</v>
      </c>
      <c r="E191" s="8" t="s">
        <v>759</v>
      </c>
      <c r="F191" t="s">
        <v>272</v>
      </c>
      <c r="G191" t="s">
        <v>494</v>
      </c>
      <c r="H191" t="s">
        <v>1070</v>
      </c>
      <c r="I191" s="2">
        <v>43750</v>
      </c>
      <c r="J191" s="2">
        <v>43986</v>
      </c>
      <c r="K191" t="s">
        <v>482</v>
      </c>
    </row>
    <row r="192" spans="1:11">
      <c r="A192">
        <v>191</v>
      </c>
      <c r="B192">
        <v>169597444</v>
      </c>
      <c r="C192" t="s">
        <v>357</v>
      </c>
      <c r="D192" t="s">
        <v>357</v>
      </c>
      <c r="E192" s="8" t="s">
        <v>759</v>
      </c>
      <c r="F192" t="s">
        <v>272</v>
      </c>
      <c r="G192" t="s">
        <v>494</v>
      </c>
      <c r="H192" t="s">
        <v>1070</v>
      </c>
      <c r="I192" s="2">
        <v>43751</v>
      </c>
      <c r="J192" s="2">
        <v>43987</v>
      </c>
      <c r="K192" t="s">
        <v>482</v>
      </c>
    </row>
    <row r="193" spans="1:11">
      <c r="A193">
        <v>192</v>
      </c>
      <c r="B193">
        <v>169596505</v>
      </c>
      <c r="C193" t="s">
        <v>944</v>
      </c>
      <c r="D193" t="s">
        <v>1068</v>
      </c>
      <c r="E193" s="8" t="s">
        <v>759</v>
      </c>
      <c r="F193" t="s">
        <v>272</v>
      </c>
      <c r="G193" t="s">
        <v>494</v>
      </c>
      <c r="H193" t="s">
        <v>1070</v>
      </c>
      <c r="I193" s="2">
        <v>43752</v>
      </c>
      <c r="J193" s="2">
        <v>43988</v>
      </c>
      <c r="K193" t="s">
        <v>482</v>
      </c>
    </row>
    <row r="194" spans="1:11">
      <c r="A194">
        <v>193</v>
      </c>
      <c r="B194">
        <v>169597108</v>
      </c>
      <c r="C194" t="s">
        <v>482</v>
      </c>
      <c r="D194" t="s">
        <v>1068</v>
      </c>
      <c r="E194" s="8" t="s">
        <v>759</v>
      </c>
      <c r="F194" t="s">
        <v>272</v>
      </c>
      <c r="G194" t="s">
        <v>494</v>
      </c>
      <c r="H194" t="s">
        <v>1070</v>
      </c>
      <c r="I194" s="2">
        <v>43753</v>
      </c>
      <c r="J194" s="2">
        <v>43989</v>
      </c>
      <c r="K194" t="s">
        <v>482</v>
      </c>
    </row>
    <row r="195" spans="1:11">
      <c r="A195">
        <v>194</v>
      </c>
      <c r="B195">
        <v>169597402</v>
      </c>
      <c r="C195" t="s">
        <v>944</v>
      </c>
      <c r="D195" t="s">
        <v>1068</v>
      </c>
      <c r="E195" s="8" t="s">
        <v>759</v>
      </c>
      <c r="F195" t="s">
        <v>272</v>
      </c>
      <c r="G195" t="s">
        <v>494</v>
      </c>
      <c r="H195" t="s">
        <v>1070</v>
      </c>
      <c r="I195" s="2">
        <v>43754</v>
      </c>
      <c r="J195" s="2">
        <v>43990</v>
      </c>
      <c r="K195" t="s">
        <v>482</v>
      </c>
    </row>
    <row r="196" spans="1:11">
      <c r="A196">
        <v>195</v>
      </c>
      <c r="B196">
        <v>169597435</v>
      </c>
      <c r="C196" t="s">
        <v>357</v>
      </c>
      <c r="D196" t="s">
        <v>357</v>
      </c>
      <c r="E196" s="8" t="s">
        <v>268</v>
      </c>
      <c r="F196" t="s">
        <v>272</v>
      </c>
      <c r="G196" t="s">
        <v>494</v>
      </c>
      <c r="H196" t="s">
        <v>1070</v>
      </c>
      <c r="I196" s="2">
        <v>43755</v>
      </c>
      <c r="J196" s="2">
        <v>43991</v>
      </c>
      <c r="K196" t="s">
        <v>482</v>
      </c>
    </row>
    <row r="197" spans="1:11">
      <c r="A197">
        <v>196</v>
      </c>
      <c r="B197">
        <v>169597411</v>
      </c>
      <c r="C197" t="s">
        <v>947</v>
      </c>
      <c r="D197" t="s">
        <v>1068</v>
      </c>
      <c r="E197" s="8" t="s">
        <v>268</v>
      </c>
      <c r="F197" t="s">
        <v>272</v>
      </c>
      <c r="G197" t="s">
        <v>494</v>
      </c>
      <c r="H197" t="s">
        <v>1070</v>
      </c>
      <c r="I197" s="2">
        <v>43756</v>
      </c>
      <c r="J197" s="2">
        <v>43992</v>
      </c>
      <c r="K197" t="s">
        <v>482</v>
      </c>
    </row>
    <row r="198" spans="1:11">
      <c r="A198">
        <v>197</v>
      </c>
      <c r="B198">
        <v>168101204</v>
      </c>
      <c r="C198" t="s">
        <v>678</v>
      </c>
      <c r="D198" t="s">
        <v>678</v>
      </c>
      <c r="E198" s="8" t="s">
        <v>760</v>
      </c>
      <c r="F198" t="s">
        <v>274</v>
      </c>
      <c r="G198" t="s">
        <v>494</v>
      </c>
      <c r="H198" t="s">
        <v>1070</v>
      </c>
      <c r="I198" s="2">
        <v>43757</v>
      </c>
      <c r="J198" s="2">
        <v>43993</v>
      </c>
      <c r="K198" t="s">
        <v>482</v>
      </c>
    </row>
    <row r="199" spans="1:11">
      <c r="A199">
        <v>198</v>
      </c>
      <c r="B199">
        <v>166842309</v>
      </c>
      <c r="C199" t="s">
        <v>320</v>
      </c>
      <c r="D199" t="s">
        <v>320</v>
      </c>
      <c r="E199" s="8" t="s">
        <v>167</v>
      </c>
      <c r="F199" t="s">
        <v>272</v>
      </c>
      <c r="G199" t="s">
        <v>494</v>
      </c>
      <c r="H199" t="s">
        <v>1070</v>
      </c>
      <c r="I199" s="2">
        <v>43758</v>
      </c>
      <c r="J199" s="2">
        <v>43994</v>
      </c>
      <c r="K199" t="s">
        <v>482</v>
      </c>
    </row>
    <row r="200" spans="1:11">
      <c r="A200">
        <v>199</v>
      </c>
      <c r="B200">
        <v>169597147</v>
      </c>
      <c r="C200" t="s">
        <v>406</v>
      </c>
      <c r="D200" t="s">
        <v>1068</v>
      </c>
      <c r="E200" s="8" t="s">
        <v>270</v>
      </c>
      <c r="F200" t="s">
        <v>274</v>
      </c>
      <c r="G200" t="s">
        <v>494</v>
      </c>
      <c r="H200" t="s">
        <v>1070</v>
      </c>
      <c r="I200" s="2">
        <v>43759</v>
      </c>
      <c r="J200" s="2">
        <v>43995</v>
      </c>
      <c r="K200" t="s">
        <v>482</v>
      </c>
    </row>
    <row r="201" spans="1:11">
      <c r="A201">
        <v>200</v>
      </c>
      <c r="B201">
        <v>169597051</v>
      </c>
      <c r="C201" t="s">
        <v>407</v>
      </c>
      <c r="D201" t="s">
        <v>363</v>
      </c>
      <c r="E201" s="8" t="s">
        <v>270</v>
      </c>
      <c r="F201" t="s">
        <v>274</v>
      </c>
      <c r="G201" t="s">
        <v>494</v>
      </c>
      <c r="H201" t="s">
        <v>1070</v>
      </c>
      <c r="I201" s="2">
        <v>43760</v>
      </c>
      <c r="J201" s="2">
        <v>43996</v>
      </c>
      <c r="K201" t="s">
        <v>482</v>
      </c>
    </row>
    <row r="202" spans="1:11">
      <c r="A202">
        <v>201</v>
      </c>
      <c r="B202">
        <v>169597171</v>
      </c>
      <c r="C202" t="s">
        <v>954</v>
      </c>
      <c r="D202" t="s">
        <v>1042</v>
      </c>
      <c r="E202" s="8" t="s">
        <v>8</v>
      </c>
      <c r="F202" t="s">
        <v>272</v>
      </c>
      <c r="G202" t="s">
        <v>494</v>
      </c>
      <c r="H202" t="s">
        <v>1070</v>
      </c>
      <c r="I202" s="2">
        <v>43761</v>
      </c>
      <c r="J202" s="2">
        <v>43997</v>
      </c>
      <c r="K202" t="s">
        <v>482</v>
      </c>
    </row>
    <row r="203" spans="1:11">
      <c r="A203">
        <v>202</v>
      </c>
      <c r="B203">
        <v>166551659</v>
      </c>
      <c r="C203" t="s">
        <v>982</v>
      </c>
      <c r="D203" t="s">
        <v>1042</v>
      </c>
      <c r="E203" s="8" t="s">
        <v>761</v>
      </c>
      <c r="F203" t="s">
        <v>272</v>
      </c>
      <c r="G203" t="s">
        <v>494</v>
      </c>
      <c r="H203" t="s">
        <v>1070</v>
      </c>
      <c r="I203" s="2">
        <v>43762</v>
      </c>
      <c r="J203" s="2">
        <v>43998</v>
      </c>
      <c r="K203" t="s">
        <v>482</v>
      </c>
    </row>
    <row r="204" spans="1:11">
      <c r="A204">
        <v>203</v>
      </c>
      <c r="B204">
        <v>168098771</v>
      </c>
      <c r="C204" t="s">
        <v>678</v>
      </c>
      <c r="D204" t="s">
        <v>678</v>
      </c>
      <c r="E204" s="8" t="s">
        <v>30</v>
      </c>
      <c r="F204" t="s">
        <v>1108</v>
      </c>
      <c r="G204" t="s">
        <v>494</v>
      </c>
      <c r="H204" t="s">
        <v>1070</v>
      </c>
      <c r="I204" s="2">
        <v>43763</v>
      </c>
      <c r="J204" s="2">
        <v>43999</v>
      </c>
      <c r="K204" t="s">
        <v>482</v>
      </c>
    </row>
    <row r="205" spans="1:11">
      <c r="A205">
        <v>204</v>
      </c>
      <c r="B205">
        <v>168098780</v>
      </c>
      <c r="C205" t="s">
        <v>678</v>
      </c>
      <c r="D205" t="s">
        <v>678</v>
      </c>
      <c r="E205" s="8" t="s">
        <v>30</v>
      </c>
      <c r="F205" t="s">
        <v>1108</v>
      </c>
      <c r="G205" t="s">
        <v>494</v>
      </c>
      <c r="H205" t="s">
        <v>1070</v>
      </c>
      <c r="I205" s="2">
        <v>43764</v>
      </c>
      <c r="J205" s="2">
        <v>44000</v>
      </c>
      <c r="K205" t="s">
        <v>482</v>
      </c>
    </row>
    <row r="206" spans="1:11">
      <c r="A206">
        <v>205</v>
      </c>
      <c r="B206">
        <v>168098774</v>
      </c>
      <c r="C206" t="s">
        <v>678</v>
      </c>
      <c r="D206" t="s">
        <v>678</v>
      </c>
      <c r="E206" s="8" t="s">
        <v>31</v>
      </c>
      <c r="F206" t="s">
        <v>1108</v>
      </c>
      <c r="G206" t="s">
        <v>494</v>
      </c>
      <c r="H206" t="s">
        <v>1070</v>
      </c>
      <c r="I206" s="2">
        <v>43765</v>
      </c>
      <c r="J206" s="2">
        <v>44001</v>
      </c>
      <c r="K206" t="s">
        <v>482</v>
      </c>
    </row>
    <row r="207" spans="1:11">
      <c r="A207">
        <v>206</v>
      </c>
      <c r="B207">
        <v>166553383</v>
      </c>
      <c r="C207" t="s">
        <v>678</v>
      </c>
      <c r="D207" t="s">
        <v>678</v>
      </c>
      <c r="E207" s="8" t="s">
        <v>72</v>
      </c>
      <c r="F207" t="s">
        <v>272</v>
      </c>
      <c r="G207" t="s">
        <v>494</v>
      </c>
      <c r="H207" t="s">
        <v>1070</v>
      </c>
      <c r="I207" s="2">
        <v>43766</v>
      </c>
      <c r="J207" s="2">
        <v>44002</v>
      </c>
      <c r="K207" t="s">
        <v>482</v>
      </c>
    </row>
    <row r="208" spans="1:11">
      <c r="A208">
        <v>207</v>
      </c>
      <c r="B208">
        <v>169597042</v>
      </c>
      <c r="C208" t="s">
        <v>932</v>
      </c>
      <c r="D208" t="s">
        <v>401</v>
      </c>
      <c r="E208" s="8"/>
      <c r="F208" t="s">
        <v>272</v>
      </c>
      <c r="I208" s="2">
        <v>43767</v>
      </c>
      <c r="J208" s="2">
        <v>44003</v>
      </c>
      <c r="K208" t="s">
        <v>482</v>
      </c>
    </row>
    <row r="209" spans="1:11">
      <c r="A209">
        <v>208</v>
      </c>
      <c r="B209">
        <v>166549149</v>
      </c>
      <c r="C209" t="s">
        <v>678</v>
      </c>
      <c r="D209" t="s">
        <v>678</v>
      </c>
      <c r="E209" s="8" t="s">
        <v>39</v>
      </c>
      <c r="F209" t="s">
        <v>274</v>
      </c>
      <c r="I209" s="2">
        <v>43768</v>
      </c>
      <c r="J209" s="2">
        <v>44004</v>
      </c>
      <c r="K209" t="s">
        <v>482</v>
      </c>
    </row>
    <row r="210" spans="1:11">
      <c r="A210">
        <v>209</v>
      </c>
      <c r="B210">
        <v>163038020</v>
      </c>
      <c r="C210" t="s">
        <v>338</v>
      </c>
      <c r="D210" t="s">
        <v>1042</v>
      </c>
      <c r="E210" s="8" t="s">
        <v>117</v>
      </c>
      <c r="F210" t="s">
        <v>272</v>
      </c>
      <c r="G210" t="s">
        <v>496</v>
      </c>
      <c r="H210" t="s">
        <v>1070</v>
      </c>
      <c r="I210" s="2">
        <v>43769</v>
      </c>
      <c r="J210" s="2">
        <v>44005</v>
      </c>
      <c r="K210" t="s">
        <v>482</v>
      </c>
    </row>
    <row r="211" spans="1:11">
      <c r="A211">
        <v>210</v>
      </c>
      <c r="B211">
        <v>166551423</v>
      </c>
      <c r="C211" t="s">
        <v>343</v>
      </c>
      <c r="D211" t="s">
        <v>401</v>
      </c>
      <c r="E211" s="8" t="s">
        <v>125</v>
      </c>
      <c r="F211" t="s">
        <v>274</v>
      </c>
      <c r="G211" t="s">
        <v>496</v>
      </c>
      <c r="H211" t="s">
        <v>1070</v>
      </c>
      <c r="I211" s="2">
        <v>43770</v>
      </c>
      <c r="J211" s="2">
        <v>44006</v>
      </c>
      <c r="K211" t="s">
        <v>482</v>
      </c>
    </row>
    <row r="212" spans="1:11">
      <c r="A212">
        <v>211</v>
      </c>
      <c r="B212">
        <v>166549979</v>
      </c>
      <c r="D212" t="s">
        <v>1108</v>
      </c>
      <c r="E212" s="8" t="s">
        <v>198</v>
      </c>
      <c r="F212" t="s">
        <v>272</v>
      </c>
      <c r="G212" t="s">
        <v>496</v>
      </c>
      <c r="H212" t="s">
        <v>1070</v>
      </c>
      <c r="I212" s="2">
        <v>43771</v>
      </c>
      <c r="J212" s="2">
        <v>44006</v>
      </c>
      <c r="K212" t="s">
        <v>482</v>
      </c>
    </row>
    <row r="213" spans="1:11">
      <c r="A213">
        <v>212</v>
      </c>
      <c r="B213">
        <v>166843595</v>
      </c>
      <c r="C213" t="s">
        <v>401</v>
      </c>
      <c r="D213" t="s">
        <v>401</v>
      </c>
      <c r="E213" s="8" t="s">
        <v>408</v>
      </c>
      <c r="F213" t="s">
        <v>1108</v>
      </c>
      <c r="G213" t="s">
        <v>496</v>
      </c>
      <c r="H213" t="s">
        <v>1070</v>
      </c>
      <c r="I213" s="2">
        <v>43772</v>
      </c>
      <c r="J213" s="2">
        <v>44006</v>
      </c>
      <c r="K213" t="s">
        <v>482</v>
      </c>
    </row>
    <row r="214" spans="1:11">
      <c r="A214">
        <v>213</v>
      </c>
      <c r="B214">
        <v>166843597</v>
      </c>
      <c r="C214" t="s">
        <v>357</v>
      </c>
      <c r="D214" t="s">
        <v>357</v>
      </c>
      <c r="E214" s="8" t="s">
        <v>735</v>
      </c>
      <c r="F214" t="s">
        <v>272</v>
      </c>
      <c r="G214" t="s">
        <v>496</v>
      </c>
      <c r="H214" t="s">
        <v>1070</v>
      </c>
      <c r="I214" s="2">
        <v>43773</v>
      </c>
      <c r="J214" s="2">
        <v>44006</v>
      </c>
      <c r="K214" t="s">
        <v>482</v>
      </c>
    </row>
    <row r="215" spans="1:11">
      <c r="A215">
        <v>214</v>
      </c>
      <c r="B215">
        <v>166843593</v>
      </c>
      <c r="C215" t="s">
        <v>320</v>
      </c>
      <c r="D215" t="s">
        <v>320</v>
      </c>
      <c r="E215" s="8" t="s">
        <v>409</v>
      </c>
      <c r="F215" t="s">
        <v>272</v>
      </c>
      <c r="G215" t="s">
        <v>496</v>
      </c>
      <c r="H215" t="s">
        <v>1070</v>
      </c>
      <c r="I215" s="2">
        <v>43774</v>
      </c>
      <c r="J215" s="2">
        <v>44010</v>
      </c>
      <c r="K215" t="s">
        <v>482</v>
      </c>
    </row>
    <row r="216" spans="1:11">
      <c r="A216">
        <v>215</v>
      </c>
      <c r="B216">
        <v>166843601</v>
      </c>
      <c r="C216" t="s">
        <v>320</v>
      </c>
      <c r="D216" t="s">
        <v>320</v>
      </c>
      <c r="E216" s="8" t="s">
        <v>409</v>
      </c>
      <c r="F216" t="s">
        <v>272</v>
      </c>
      <c r="G216" t="s">
        <v>496</v>
      </c>
      <c r="H216" t="s">
        <v>1070</v>
      </c>
      <c r="I216" s="2">
        <v>43775</v>
      </c>
      <c r="J216" s="2">
        <v>44006</v>
      </c>
      <c r="K216" t="s">
        <v>482</v>
      </c>
    </row>
    <row r="217" spans="1:11">
      <c r="A217">
        <v>216</v>
      </c>
      <c r="B217">
        <v>143119156</v>
      </c>
      <c r="C217" t="s">
        <v>961</v>
      </c>
      <c r="D217" t="s">
        <v>1042</v>
      </c>
      <c r="E217" s="8" t="s">
        <v>409</v>
      </c>
      <c r="F217" t="s">
        <v>272</v>
      </c>
      <c r="G217" t="s">
        <v>496</v>
      </c>
      <c r="H217" t="s">
        <v>1070</v>
      </c>
      <c r="I217" s="2">
        <v>43776</v>
      </c>
      <c r="J217" s="2">
        <v>44012</v>
      </c>
      <c r="K217" t="s">
        <v>482</v>
      </c>
    </row>
    <row r="218" spans="1:11">
      <c r="A218">
        <v>217</v>
      </c>
      <c r="B218">
        <v>143119154</v>
      </c>
      <c r="C218" t="s">
        <v>357</v>
      </c>
      <c r="D218" t="s">
        <v>357</v>
      </c>
      <c r="E218" s="8" t="s">
        <v>409</v>
      </c>
      <c r="F218" t="s">
        <v>272</v>
      </c>
      <c r="G218" t="s">
        <v>496</v>
      </c>
      <c r="H218" t="s">
        <v>1070</v>
      </c>
      <c r="I218" s="2">
        <v>43777</v>
      </c>
      <c r="J218" s="2">
        <v>44013</v>
      </c>
      <c r="K218" t="s">
        <v>508</v>
      </c>
    </row>
    <row r="219" spans="1:11">
      <c r="A219">
        <v>218</v>
      </c>
      <c r="B219">
        <v>143119150</v>
      </c>
      <c r="C219" t="s">
        <v>405</v>
      </c>
      <c r="D219" t="s">
        <v>1068</v>
      </c>
      <c r="E219" s="8" t="s">
        <v>409</v>
      </c>
      <c r="F219" t="s">
        <v>272</v>
      </c>
      <c r="G219" t="s">
        <v>496</v>
      </c>
      <c r="H219" t="s">
        <v>1070</v>
      </c>
      <c r="I219" s="2">
        <v>43778</v>
      </c>
      <c r="J219" s="2">
        <v>44014</v>
      </c>
      <c r="K219" t="s">
        <v>508</v>
      </c>
    </row>
    <row r="220" spans="1:11">
      <c r="A220">
        <v>219</v>
      </c>
      <c r="B220">
        <v>167222332</v>
      </c>
      <c r="C220" t="s">
        <v>678</v>
      </c>
      <c r="D220" t="s">
        <v>678</v>
      </c>
      <c r="E220" s="8" t="s">
        <v>410</v>
      </c>
      <c r="F220" t="s">
        <v>1108</v>
      </c>
      <c r="G220" t="s">
        <v>496</v>
      </c>
      <c r="H220" t="s">
        <v>1070</v>
      </c>
      <c r="I220" s="2">
        <v>43779</v>
      </c>
      <c r="J220" s="2">
        <v>44006</v>
      </c>
      <c r="K220" t="s">
        <v>508</v>
      </c>
    </row>
    <row r="221" spans="1:11">
      <c r="A221">
        <v>220</v>
      </c>
      <c r="B221">
        <v>167222370</v>
      </c>
      <c r="C221" t="s">
        <v>357</v>
      </c>
      <c r="D221" t="s">
        <v>357</v>
      </c>
      <c r="E221" s="8" t="s">
        <v>410</v>
      </c>
      <c r="F221" t="s">
        <v>1108</v>
      </c>
      <c r="G221" t="s">
        <v>496</v>
      </c>
      <c r="H221" t="s">
        <v>1070</v>
      </c>
      <c r="I221" s="2">
        <v>43780</v>
      </c>
      <c r="J221" s="2">
        <v>44016</v>
      </c>
      <c r="K221" t="s">
        <v>508</v>
      </c>
    </row>
    <row r="222" spans="1:11">
      <c r="A222">
        <v>221</v>
      </c>
      <c r="B222">
        <v>167419842</v>
      </c>
      <c r="C222" t="s">
        <v>372</v>
      </c>
      <c r="D222" t="s">
        <v>401</v>
      </c>
      <c r="E222" s="8" t="s">
        <v>410</v>
      </c>
      <c r="F222" t="s">
        <v>1108</v>
      </c>
      <c r="G222" t="s">
        <v>779</v>
      </c>
      <c r="H222" t="s">
        <v>1070</v>
      </c>
      <c r="I222" s="2">
        <v>43781</v>
      </c>
      <c r="J222" s="2">
        <v>44017</v>
      </c>
      <c r="K222" t="s">
        <v>508</v>
      </c>
    </row>
    <row r="223" spans="1:11">
      <c r="A223">
        <v>222</v>
      </c>
      <c r="B223">
        <v>165050730</v>
      </c>
      <c r="C223" t="s">
        <v>983</v>
      </c>
      <c r="D223" t="s">
        <v>1042</v>
      </c>
      <c r="E223" s="8" t="s">
        <v>413</v>
      </c>
      <c r="F223" t="s">
        <v>274</v>
      </c>
      <c r="G223" t="s">
        <v>779</v>
      </c>
      <c r="H223" t="s">
        <v>1070</v>
      </c>
      <c r="I223" s="2">
        <v>43782</v>
      </c>
      <c r="J223" s="2">
        <v>44018</v>
      </c>
      <c r="K223" t="s">
        <v>508</v>
      </c>
    </row>
    <row r="224" spans="1:11">
      <c r="A224">
        <v>223</v>
      </c>
      <c r="B224">
        <v>166551673</v>
      </c>
      <c r="C224" t="s">
        <v>678</v>
      </c>
      <c r="D224" t="s">
        <v>678</v>
      </c>
      <c r="E224" s="8" t="s">
        <v>415</v>
      </c>
      <c r="F224" t="s">
        <v>274</v>
      </c>
      <c r="G224" t="s">
        <v>779</v>
      </c>
      <c r="H224" t="s">
        <v>1070</v>
      </c>
      <c r="I224" s="2">
        <v>43783</v>
      </c>
      <c r="J224" s="2">
        <v>44019</v>
      </c>
      <c r="K224" t="s">
        <v>508</v>
      </c>
    </row>
    <row r="225" spans="1:11">
      <c r="A225">
        <v>224</v>
      </c>
      <c r="B225">
        <v>166551701</v>
      </c>
      <c r="C225" t="s">
        <v>678</v>
      </c>
      <c r="D225" t="s">
        <v>678</v>
      </c>
      <c r="E225" s="8" t="s">
        <v>417</v>
      </c>
      <c r="F225" t="s">
        <v>274</v>
      </c>
      <c r="G225" t="s">
        <v>779</v>
      </c>
      <c r="H225" t="s">
        <v>1070</v>
      </c>
      <c r="I225" s="2">
        <v>43784</v>
      </c>
      <c r="J225" s="2">
        <v>44006</v>
      </c>
      <c r="K225" t="s">
        <v>508</v>
      </c>
    </row>
    <row r="226" spans="1:11">
      <c r="A226">
        <v>225</v>
      </c>
      <c r="B226">
        <v>166551681</v>
      </c>
      <c r="C226" t="s">
        <v>320</v>
      </c>
      <c r="D226" t="s">
        <v>320</v>
      </c>
      <c r="E226" s="8" t="s">
        <v>420</v>
      </c>
      <c r="F226" t="s">
        <v>272</v>
      </c>
      <c r="G226" t="s">
        <v>779</v>
      </c>
      <c r="H226" t="s">
        <v>1070</v>
      </c>
      <c r="I226" s="2">
        <v>43785</v>
      </c>
      <c r="J226" s="2">
        <v>44021</v>
      </c>
      <c r="K226" t="s">
        <v>508</v>
      </c>
    </row>
    <row r="227" spans="1:11">
      <c r="A227">
        <v>226</v>
      </c>
      <c r="B227">
        <v>166551665</v>
      </c>
      <c r="C227" t="s">
        <v>357</v>
      </c>
      <c r="D227" t="s">
        <v>357</v>
      </c>
      <c r="E227" s="8" t="s">
        <v>420</v>
      </c>
      <c r="F227" t="s">
        <v>272</v>
      </c>
      <c r="G227" t="s">
        <v>779</v>
      </c>
      <c r="H227" t="s">
        <v>1070</v>
      </c>
      <c r="I227" s="2">
        <v>43786</v>
      </c>
      <c r="J227" s="2">
        <v>44593</v>
      </c>
      <c r="K227" t="s">
        <v>508</v>
      </c>
    </row>
    <row r="228" spans="1:11">
      <c r="A228">
        <v>227</v>
      </c>
      <c r="B228">
        <v>166551667</v>
      </c>
      <c r="D228" t="s">
        <v>1108</v>
      </c>
      <c r="E228" s="8" t="s">
        <v>420</v>
      </c>
      <c r="F228" t="s">
        <v>272</v>
      </c>
      <c r="G228" t="s">
        <v>779</v>
      </c>
      <c r="H228" t="s">
        <v>1070</v>
      </c>
      <c r="I228" s="2">
        <v>43787</v>
      </c>
      <c r="J228" s="2">
        <v>44594</v>
      </c>
      <c r="K228" t="s">
        <v>508</v>
      </c>
    </row>
    <row r="229" spans="1:11">
      <c r="A229">
        <v>228</v>
      </c>
      <c r="B229">
        <v>166551677</v>
      </c>
      <c r="C229" t="s">
        <v>368</v>
      </c>
      <c r="D229" t="s">
        <v>1068</v>
      </c>
      <c r="E229" s="8" t="s">
        <v>421</v>
      </c>
      <c r="F229" t="s">
        <v>276</v>
      </c>
      <c r="G229" t="s">
        <v>779</v>
      </c>
      <c r="H229" t="s">
        <v>1070</v>
      </c>
      <c r="I229" s="2">
        <v>43788</v>
      </c>
      <c r="J229" s="2">
        <v>44595</v>
      </c>
      <c r="K229" t="s">
        <v>508</v>
      </c>
    </row>
    <row r="230" spans="1:11">
      <c r="A230">
        <v>229</v>
      </c>
      <c r="B230">
        <v>166551687</v>
      </c>
      <c r="C230" t="s">
        <v>320</v>
      </c>
      <c r="D230" t="s">
        <v>320</v>
      </c>
      <c r="E230" s="8" t="s">
        <v>421</v>
      </c>
      <c r="F230" t="s">
        <v>276</v>
      </c>
      <c r="G230" t="s">
        <v>779</v>
      </c>
      <c r="H230" t="s">
        <v>1070</v>
      </c>
      <c r="I230" s="2">
        <v>43789</v>
      </c>
      <c r="J230" s="2">
        <v>44596</v>
      </c>
      <c r="K230" t="s">
        <v>508</v>
      </c>
    </row>
    <row r="231" spans="1:11">
      <c r="A231">
        <v>230</v>
      </c>
      <c r="B231">
        <v>166551699</v>
      </c>
      <c r="C231" t="s">
        <v>678</v>
      </c>
      <c r="D231" t="s">
        <v>678</v>
      </c>
      <c r="E231" s="8" t="s">
        <v>422</v>
      </c>
      <c r="F231" t="s">
        <v>274</v>
      </c>
      <c r="G231" t="s">
        <v>779</v>
      </c>
      <c r="H231" t="s">
        <v>1070</v>
      </c>
      <c r="I231" s="2">
        <v>43790</v>
      </c>
      <c r="J231" s="2">
        <v>44597</v>
      </c>
      <c r="K231" t="s">
        <v>508</v>
      </c>
    </row>
    <row r="232" spans="1:11">
      <c r="A232">
        <v>231</v>
      </c>
      <c r="B232">
        <v>166551709</v>
      </c>
      <c r="C232" t="s">
        <v>320</v>
      </c>
      <c r="D232" t="s">
        <v>320</v>
      </c>
      <c r="E232" s="8"/>
      <c r="F232" t="s">
        <v>272</v>
      </c>
      <c r="G232" t="s">
        <v>779</v>
      </c>
      <c r="H232" t="s">
        <v>1070</v>
      </c>
      <c r="I232" s="2">
        <v>43791</v>
      </c>
      <c r="J232" s="2">
        <v>44598</v>
      </c>
      <c r="K232" t="s">
        <v>508</v>
      </c>
    </row>
    <row r="233" spans="1:11">
      <c r="A233">
        <v>232</v>
      </c>
      <c r="B233">
        <v>166551697</v>
      </c>
      <c r="C233" t="s">
        <v>423</v>
      </c>
      <c r="D233" t="s">
        <v>1068</v>
      </c>
      <c r="E233" s="8" t="s">
        <v>424</v>
      </c>
      <c r="F233" t="s">
        <v>272</v>
      </c>
      <c r="G233" t="s">
        <v>779</v>
      </c>
      <c r="H233" t="s">
        <v>1070</v>
      </c>
      <c r="I233" s="2">
        <v>43792</v>
      </c>
      <c r="J233" s="2">
        <v>44599</v>
      </c>
      <c r="K233" t="s">
        <v>508</v>
      </c>
    </row>
    <row r="234" spans="1:11">
      <c r="A234">
        <v>233</v>
      </c>
      <c r="B234">
        <v>143024462</v>
      </c>
      <c r="C234" t="s">
        <v>678</v>
      </c>
      <c r="D234" t="s">
        <v>678</v>
      </c>
      <c r="E234" s="8" t="s">
        <v>426</v>
      </c>
      <c r="F234" t="s">
        <v>274</v>
      </c>
      <c r="G234" t="s">
        <v>779</v>
      </c>
      <c r="H234" t="s">
        <v>1070</v>
      </c>
      <c r="I234" s="2">
        <v>43793</v>
      </c>
      <c r="J234" s="2">
        <v>44600</v>
      </c>
      <c r="K234" t="s">
        <v>508</v>
      </c>
    </row>
    <row r="235" spans="1:11">
      <c r="A235">
        <v>234</v>
      </c>
      <c r="B235">
        <v>166843901</v>
      </c>
      <c r="C235" t="s">
        <v>320</v>
      </c>
      <c r="D235" t="s">
        <v>320</v>
      </c>
      <c r="E235" s="8" t="s">
        <v>427</v>
      </c>
      <c r="F235" t="s">
        <v>280</v>
      </c>
      <c r="G235" t="s">
        <v>779</v>
      </c>
      <c r="H235" t="s">
        <v>1070</v>
      </c>
      <c r="I235" s="2">
        <v>43794</v>
      </c>
      <c r="J235" s="2">
        <v>44601</v>
      </c>
      <c r="K235" t="s">
        <v>508</v>
      </c>
    </row>
    <row r="236" spans="1:11">
      <c r="A236">
        <v>235</v>
      </c>
      <c r="B236">
        <v>166842297</v>
      </c>
      <c r="C236" t="s">
        <v>678</v>
      </c>
      <c r="D236" t="s">
        <v>678</v>
      </c>
      <c r="E236" s="8" t="s">
        <v>762</v>
      </c>
      <c r="F236" t="s">
        <v>274</v>
      </c>
      <c r="G236" t="s">
        <v>779</v>
      </c>
      <c r="H236" t="s">
        <v>1070</v>
      </c>
      <c r="I236" s="2">
        <v>43795</v>
      </c>
      <c r="J236" s="2">
        <v>44602</v>
      </c>
      <c r="K236" t="s">
        <v>508</v>
      </c>
    </row>
    <row r="237" spans="1:11">
      <c r="A237">
        <v>236</v>
      </c>
      <c r="B237">
        <v>169597201</v>
      </c>
      <c r="C237" t="s">
        <v>388</v>
      </c>
      <c r="D237" t="s">
        <v>1068</v>
      </c>
      <c r="E237" s="8" t="s">
        <v>225</v>
      </c>
      <c r="F237" t="s">
        <v>272</v>
      </c>
      <c r="G237" t="s">
        <v>779</v>
      </c>
      <c r="H237" t="s">
        <v>1070</v>
      </c>
      <c r="I237" s="2">
        <v>43796</v>
      </c>
      <c r="J237" s="2">
        <v>44603</v>
      </c>
      <c r="K237" t="s">
        <v>508</v>
      </c>
    </row>
    <row r="238" spans="1:11">
      <c r="A238">
        <v>237</v>
      </c>
      <c r="B238">
        <v>169597159</v>
      </c>
      <c r="C238" t="s">
        <v>372</v>
      </c>
      <c r="D238" t="s">
        <v>401</v>
      </c>
      <c r="E238" s="8" t="s">
        <v>225</v>
      </c>
      <c r="F238" t="s">
        <v>272</v>
      </c>
      <c r="G238" t="s">
        <v>779</v>
      </c>
      <c r="H238" t="s">
        <v>1070</v>
      </c>
      <c r="I238" s="2">
        <v>43797</v>
      </c>
      <c r="J238" s="2">
        <v>44604</v>
      </c>
      <c r="K238" t="s">
        <v>508</v>
      </c>
    </row>
    <row r="239" spans="1:11">
      <c r="A239">
        <v>238</v>
      </c>
      <c r="B239">
        <v>166551755</v>
      </c>
      <c r="C239" t="s">
        <v>356</v>
      </c>
      <c r="D239" t="s">
        <v>1068</v>
      </c>
      <c r="E239" s="8" t="s">
        <v>430</v>
      </c>
      <c r="F239" t="s">
        <v>273</v>
      </c>
      <c r="G239" t="s">
        <v>505</v>
      </c>
      <c r="H239" t="s">
        <v>1070</v>
      </c>
      <c r="I239" s="2">
        <v>43798</v>
      </c>
      <c r="J239" s="2">
        <v>44605</v>
      </c>
      <c r="K239" t="s">
        <v>508</v>
      </c>
    </row>
    <row r="240" spans="1:11">
      <c r="A240">
        <v>239</v>
      </c>
      <c r="B240">
        <v>166551771</v>
      </c>
      <c r="C240" t="s">
        <v>357</v>
      </c>
      <c r="D240" t="s">
        <v>357</v>
      </c>
      <c r="E240" s="8" t="s">
        <v>431</v>
      </c>
      <c r="F240" t="s">
        <v>272</v>
      </c>
      <c r="G240" t="s">
        <v>505</v>
      </c>
      <c r="H240" t="s">
        <v>1070</v>
      </c>
      <c r="I240" s="2">
        <v>43920</v>
      </c>
      <c r="J240" s="2">
        <v>44606</v>
      </c>
      <c r="K240" t="s">
        <v>508</v>
      </c>
    </row>
    <row r="241" spans="1:11">
      <c r="A241">
        <v>240</v>
      </c>
      <c r="B241">
        <v>166551769</v>
      </c>
      <c r="C241" t="s">
        <v>320</v>
      </c>
      <c r="D241" t="s">
        <v>320</v>
      </c>
      <c r="E241" s="8" t="s">
        <v>436</v>
      </c>
      <c r="F241" t="s">
        <v>276</v>
      </c>
      <c r="G241" t="s">
        <v>505</v>
      </c>
      <c r="H241" t="s">
        <v>1070</v>
      </c>
      <c r="I241" s="2">
        <v>43921</v>
      </c>
      <c r="J241" s="2">
        <v>44607</v>
      </c>
      <c r="K241" t="s">
        <v>508</v>
      </c>
    </row>
    <row r="242" spans="1:11">
      <c r="A242">
        <v>241</v>
      </c>
      <c r="B242">
        <v>143039622</v>
      </c>
      <c r="D242" t="s">
        <v>1108</v>
      </c>
      <c r="E242" s="8" t="s">
        <v>770</v>
      </c>
      <c r="F242" t="s">
        <v>1108</v>
      </c>
      <c r="I242" s="2">
        <v>43922</v>
      </c>
      <c r="J242" s="2">
        <v>44834</v>
      </c>
      <c r="K242" t="s">
        <v>482</v>
      </c>
    </row>
    <row r="243" spans="1:11">
      <c r="A243">
        <v>242</v>
      </c>
      <c r="B243">
        <v>163755590</v>
      </c>
      <c r="C243" t="s">
        <v>320</v>
      </c>
      <c r="D243" t="s">
        <v>320</v>
      </c>
      <c r="E243" s="8" t="s">
        <v>111</v>
      </c>
      <c r="F243" t="s">
        <v>272</v>
      </c>
      <c r="G243" t="s">
        <v>497</v>
      </c>
      <c r="H243" t="s">
        <v>1070</v>
      </c>
      <c r="I243" s="2">
        <v>43922</v>
      </c>
      <c r="J243" s="2">
        <v>44834</v>
      </c>
      <c r="K243" t="s">
        <v>507</v>
      </c>
    </row>
    <row r="244" spans="1:11">
      <c r="A244">
        <v>243</v>
      </c>
      <c r="B244">
        <v>166551759</v>
      </c>
      <c r="C244" t="s">
        <v>320</v>
      </c>
      <c r="D244" t="s">
        <v>320</v>
      </c>
      <c r="E244" s="8" t="s">
        <v>438</v>
      </c>
      <c r="F244" t="s">
        <v>276</v>
      </c>
      <c r="G244" t="s">
        <v>505</v>
      </c>
      <c r="H244" t="s">
        <v>1070</v>
      </c>
      <c r="I244" s="2">
        <v>43922</v>
      </c>
      <c r="J244" s="2">
        <v>44608</v>
      </c>
      <c r="K244" t="s">
        <v>508</v>
      </c>
    </row>
    <row r="245" spans="1:11">
      <c r="A245">
        <v>244</v>
      </c>
      <c r="B245">
        <v>166552537</v>
      </c>
      <c r="C245" t="s">
        <v>357</v>
      </c>
      <c r="D245" t="s">
        <v>357</v>
      </c>
      <c r="E245" s="8" t="s">
        <v>26</v>
      </c>
      <c r="F245" t="s">
        <v>272</v>
      </c>
      <c r="G245" t="s">
        <v>493</v>
      </c>
      <c r="H245" t="s">
        <v>1070</v>
      </c>
      <c r="I245" s="2">
        <v>43922</v>
      </c>
      <c r="J245" s="2">
        <v>44834</v>
      </c>
      <c r="K245" t="s">
        <v>482</v>
      </c>
    </row>
    <row r="246" spans="1:11">
      <c r="A246">
        <v>245</v>
      </c>
      <c r="B246">
        <v>166553401</v>
      </c>
      <c r="C246" t="s">
        <v>678</v>
      </c>
      <c r="D246" t="s">
        <v>678</v>
      </c>
      <c r="E246" s="8" t="s">
        <v>95</v>
      </c>
      <c r="F246" t="s">
        <v>273</v>
      </c>
      <c r="G246" t="s">
        <v>495</v>
      </c>
      <c r="H246" t="s">
        <v>1071</v>
      </c>
      <c r="I246" s="2">
        <v>43922</v>
      </c>
      <c r="J246" s="2">
        <v>44834</v>
      </c>
      <c r="K246" t="s">
        <v>507</v>
      </c>
    </row>
    <row r="247" spans="1:11">
      <c r="A247">
        <v>246</v>
      </c>
      <c r="B247">
        <v>166553415</v>
      </c>
      <c r="C247" t="s">
        <v>320</v>
      </c>
      <c r="D247" t="s">
        <v>320</v>
      </c>
      <c r="E247" s="8" t="s">
        <v>75</v>
      </c>
      <c r="F247" t="s">
        <v>272</v>
      </c>
      <c r="G247" t="s">
        <v>499</v>
      </c>
      <c r="H247" t="s">
        <v>1070</v>
      </c>
      <c r="I247" s="2">
        <v>43922</v>
      </c>
      <c r="J247" s="2">
        <v>44834</v>
      </c>
      <c r="K247" t="s">
        <v>482</v>
      </c>
    </row>
    <row r="248" spans="1:11">
      <c r="A248">
        <v>247</v>
      </c>
      <c r="B248">
        <v>169597063</v>
      </c>
      <c r="C248" t="s">
        <v>320</v>
      </c>
      <c r="D248" t="s">
        <v>320</v>
      </c>
      <c r="E248" s="8" t="s">
        <v>233</v>
      </c>
      <c r="F248" t="s">
        <v>272</v>
      </c>
      <c r="G248" t="s">
        <v>493</v>
      </c>
      <c r="H248" t="s">
        <v>1070</v>
      </c>
      <c r="I248" s="2">
        <v>43922</v>
      </c>
      <c r="J248" s="2">
        <v>44834</v>
      </c>
      <c r="K248" t="s">
        <v>507</v>
      </c>
    </row>
    <row r="249" spans="1:11">
      <c r="A249">
        <v>248</v>
      </c>
      <c r="B249">
        <v>168100859</v>
      </c>
      <c r="C249" t="s">
        <v>678</v>
      </c>
      <c r="D249" t="s">
        <v>678</v>
      </c>
      <c r="E249" s="8" t="s">
        <v>439</v>
      </c>
      <c r="F249" t="s">
        <v>274</v>
      </c>
      <c r="G249" t="s">
        <v>505</v>
      </c>
      <c r="H249" t="s">
        <v>1070</v>
      </c>
      <c r="I249" s="2">
        <v>43923</v>
      </c>
      <c r="J249" s="2">
        <v>44609</v>
      </c>
      <c r="K249" t="s">
        <v>508</v>
      </c>
    </row>
    <row r="250" spans="1:11">
      <c r="A250">
        <v>249</v>
      </c>
      <c r="B250">
        <v>166551727</v>
      </c>
      <c r="C250" t="s">
        <v>440</v>
      </c>
      <c r="D250" t="s">
        <v>1068</v>
      </c>
      <c r="E250" s="8" t="s">
        <v>441</v>
      </c>
      <c r="F250" t="s">
        <v>1108</v>
      </c>
      <c r="G250" t="s">
        <v>505</v>
      </c>
      <c r="H250" t="s">
        <v>1070</v>
      </c>
      <c r="I250" s="2">
        <v>43924</v>
      </c>
      <c r="J250" s="2">
        <v>44610</v>
      </c>
      <c r="K250" t="s">
        <v>508</v>
      </c>
    </row>
    <row r="251" spans="1:11">
      <c r="A251">
        <v>250</v>
      </c>
      <c r="B251">
        <v>166551723</v>
      </c>
      <c r="C251" t="s">
        <v>320</v>
      </c>
      <c r="D251" t="s">
        <v>320</v>
      </c>
      <c r="E251" s="8" t="s">
        <v>441</v>
      </c>
      <c r="F251" t="s">
        <v>1108</v>
      </c>
      <c r="G251" t="s">
        <v>505</v>
      </c>
      <c r="H251" t="s">
        <v>1070</v>
      </c>
      <c r="I251" s="2">
        <v>43925</v>
      </c>
      <c r="J251" s="2">
        <v>44611</v>
      </c>
      <c r="K251" t="s">
        <v>508</v>
      </c>
    </row>
    <row r="252" spans="1:11">
      <c r="A252">
        <v>251</v>
      </c>
      <c r="B252">
        <v>166551721</v>
      </c>
      <c r="D252" t="s">
        <v>1108</v>
      </c>
      <c r="E252" s="8" t="s">
        <v>442</v>
      </c>
      <c r="F252" t="s">
        <v>272</v>
      </c>
      <c r="G252" t="s">
        <v>505</v>
      </c>
      <c r="H252" t="s">
        <v>1070</v>
      </c>
      <c r="I252" s="2">
        <v>43926</v>
      </c>
      <c r="J252" s="2">
        <v>44612</v>
      </c>
      <c r="K252" t="s">
        <v>508</v>
      </c>
    </row>
    <row r="253" spans="1:11">
      <c r="A253">
        <v>252</v>
      </c>
      <c r="B253">
        <v>168100850</v>
      </c>
      <c r="C253" t="s">
        <v>357</v>
      </c>
      <c r="D253" t="s">
        <v>357</v>
      </c>
      <c r="E253" s="8" t="s">
        <v>442</v>
      </c>
      <c r="F253" t="s">
        <v>272</v>
      </c>
      <c r="G253" t="s">
        <v>505</v>
      </c>
      <c r="H253" t="s">
        <v>1070</v>
      </c>
      <c r="I253" s="2">
        <v>43927</v>
      </c>
      <c r="J253" s="2">
        <v>44613</v>
      </c>
      <c r="K253" t="s">
        <v>508</v>
      </c>
    </row>
    <row r="254" spans="1:11">
      <c r="A254">
        <v>253</v>
      </c>
      <c r="B254">
        <v>143060856</v>
      </c>
      <c r="C254" t="s">
        <v>444</v>
      </c>
      <c r="D254" t="s">
        <v>363</v>
      </c>
      <c r="E254" s="8" t="s">
        <v>445</v>
      </c>
      <c r="F254" t="s">
        <v>272</v>
      </c>
      <c r="G254" t="s">
        <v>505</v>
      </c>
      <c r="H254" t="s">
        <v>1070</v>
      </c>
      <c r="I254" s="2">
        <v>43928</v>
      </c>
      <c r="J254" s="2">
        <v>44614</v>
      </c>
      <c r="K254" t="s">
        <v>508</v>
      </c>
    </row>
    <row r="255" spans="1:11">
      <c r="A255">
        <v>254</v>
      </c>
      <c r="B255">
        <v>166549251</v>
      </c>
      <c r="D255" t="s">
        <v>1108</v>
      </c>
      <c r="E255" s="8" t="s">
        <v>445</v>
      </c>
      <c r="F255" t="s">
        <v>272</v>
      </c>
      <c r="G255" t="s">
        <v>505</v>
      </c>
      <c r="H255" t="s">
        <v>1070</v>
      </c>
      <c r="I255" s="2">
        <v>43929</v>
      </c>
      <c r="J255" s="2">
        <v>44615</v>
      </c>
      <c r="K255" t="s">
        <v>508</v>
      </c>
    </row>
    <row r="256" spans="1:11">
      <c r="A256">
        <v>255</v>
      </c>
      <c r="B256">
        <v>166549223</v>
      </c>
      <c r="C256" t="s">
        <v>327</v>
      </c>
      <c r="D256" t="s">
        <v>363</v>
      </c>
      <c r="E256" s="8" t="s">
        <v>445</v>
      </c>
      <c r="F256" t="s">
        <v>272</v>
      </c>
      <c r="G256" t="s">
        <v>505</v>
      </c>
      <c r="H256" t="s">
        <v>1070</v>
      </c>
      <c r="I256" s="2">
        <v>43930</v>
      </c>
      <c r="J256" s="2">
        <v>44616</v>
      </c>
      <c r="K256" t="s">
        <v>508</v>
      </c>
    </row>
    <row r="257" spans="1:11">
      <c r="A257">
        <v>256</v>
      </c>
      <c r="B257">
        <v>166549229</v>
      </c>
      <c r="C257" t="s">
        <v>446</v>
      </c>
      <c r="D257" t="s">
        <v>1042</v>
      </c>
      <c r="E257" s="8" t="s">
        <v>445</v>
      </c>
      <c r="F257" t="s">
        <v>272</v>
      </c>
      <c r="G257" t="s">
        <v>505</v>
      </c>
      <c r="H257" t="s">
        <v>1070</v>
      </c>
      <c r="I257" s="2">
        <v>43931</v>
      </c>
      <c r="J257" s="2">
        <v>44617</v>
      </c>
      <c r="K257" t="s">
        <v>508</v>
      </c>
    </row>
    <row r="258" spans="1:11">
      <c r="A258">
        <v>257</v>
      </c>
      <c r="B258">
        <v>166549237</v>
      </c>
      <c r="C258" t="s">
        <v>447</v>
      </c>
      <c r="D258" t="s">
        <v>363</v>
      </c>
      <c r="E258" s="8" t="s">
        <v>445</v>
      </c>
      <c r="F258" t="s">
        <v>272</v>
      </c>
      <c r="G258" t="s">
        <v>505</v>
      </c>
      <c r="H258" t="s">
        <v>1070</v>
      </c>
      <c r="I258" s="2">
        <v>43932</v>
      </c>
      <c r="J258" s="2">
        <v>44618</v>
      </c>
      <c r="K258" t="s">
        <v>508</v>
      </c>
    </row>
    <row r="259" spans="1:11">
      <c r="A259">
        <v>258</v>
      </c>
      <c r="B259">
        <v>166549233</v>
      </c>
      <c r="C259" t="s">
        <v>678</v>
      </c>
      <c r="D259" t="s">
        <v>678</v>
      </c>
      <c r="E259" s="8" t="s">
        <v>445</v>
      </c>
      <c r="F259" t="s">
        <v>272</v>
      </c>
      <c r="G259" t="s">
        <v>505</v>
      </c>
      <c r="H259" t="s">
        <v>1070</v>
      </c>
      <c r="I259" s="2">
        <v>43933</v>
      </c>
      <c r="J259" s="2">
        <v>44619</v>
      </c>
      <c r="K259" t="s">
        <v>508</v>
      </c>
    </row>
    <row r="260" spans="1:11">
      <c r="A260">
        <v>259</v>
      </c>
      <c r="B260">
        <v>166549243</v>
      </c>
      <c r="C260" t="s">
        <v>678</v>
      </c>
      <c r="D260" t="s">
        <v>678</v>
      </c>
      <c r="E260" s="8" t="s">
        <v>445</v>
      </c>
      <c r="F260" t="s">
        <v>272</v>
      </c>
      <c r="G260" t="s">
        <v>505</v>
      </c>
      <c r="H260" t="s">
        <v>1070</v>
      </c>
      <c r="I260" s="2">
        <v>43934</v>
      </c>
      <c r="J260" s="2">
        <v>44620</v>
      </c>
      <c r="K260" t="s">
        <v>508</v>
      </c>
    </row>
    <row r="261" spans="1:11">
      <c r="A261">
        <v>260</v>
      </c>
      <c r="B261">
        <v>166549225</v>
      </c>
      <c r="C261" t="s">
        <v>405</v>
      </c>
      <c r="D261" t="s">
        <v>1068</v>
      </c>
      <c r="E261" s="8" t="s">
        <v>448</v>
      </c>
      <c r="F261" t="s">
        <v>274</v>
      </c>
      <c r="G261" t="s">
        <v>505</v>
      </c>
      <c r="H261" t="s">
        <v>1070</v>
      </c>
      <c r="I261" s="2">
        <v>43935</v>
      </c>
      <c r="J261" s="2">
        <v>44621</v>
      </c>
      <c r="K261" t="s">
        <v>508</v>
      </c>
    </row>
    <row r="262" spans="1:11">
      <c r="A262">
        <v>261</v>
      </c>
      <c r="B262">
        <v>166549215</v>
      </c>
      <c r="C262" t="s">
        <v>449</v>
      </c>
      <c r="D262" t="s">
        <v>1042</v>
      </c>
      <c r="E262" s="8" t="s">
        <v>450</v>
      </c>
      <c r="F262" t="s">
        <v>272</v>
      </c>
      <c r="G262" t="s">
        <v>505</v>
      </c>
      <c r="H262" t="s">
        <v>1070</v>
      </c>
      <c r="I262" s="2">
        <v>43936</v>
      </c>
      <c r="J262" s="2">
        <v>44622</v>
      </c>
      <c r="K262" t="s">
        <v>508</v>
      </c>
    </row>
    <row r="263" spans="1:11">
      <c r="A263">
        <v>262</v>
      </c>
      <c r="B263">
        <v>166549231</v>
      </c>
      <c r="C263" t="s">
        <v>935</v>
      </c>
      <c r="D263" t="s">
        <v>401</v>
      </c>
      <c r="E263" s="8" t="s">
        <v>450</v>
      </c>
      <c r="F263" t="s">
        <v>272</v>
      </c>
      <c r="G263" t="s">
        <v>505</v>
      </c>
      <c r="H263" t="s">
        <v>1070</v>
      </c>
      <c r="I263" s="2">
        <v>43937</v>
      </c>
      <c r="J263" s="2">
        <v>44623</v>
      </c>
      <c r="K263" t="s">
        <v>508</v>
      </c>
    </row>
    <row r="264" spans="1:11">
      <c r="A264">
        <v>263</v>
      </c>
      <c r="B264">
        <v>166549247</v>
      </c>
      <c r="C264" t="s">
        <v>320</v>
      </c>
      <c r="D264" t="s">
        <v>320</v>
      </c>
      <c r="E264" s="8" t="s">
        <v>451</v>
      </c>
      <c r="F264" t="s">
        <v>273</v>
      </c>
      <c r="G264" t="s">
        <v>505</v>
      </c>
      <c r="H264" t="s">
        <v>1070</v>
      </c>
      <c r="I264" s="2">
        <v>43938</v>
      </c>
      <c r="J264" s="2">
        <v>44624</v>
      </c>
      <c r="K264" t="s">
        <v>508</v>
      </c>
    </row>
    <row r="265" spans="1:11">
      <c r="A265">
        <v>264</v>
      </c>
      <c r="B265">
        <v>166549235</v>
      </c>
      <c r="C265" t="s">
        <v>678</v>
      </c>
      <c r="D265" t="s">
        <v>678</v>
      </c>
      <c r="E265" s="8" t="s">
        <v>453</v>
      </c>
      <c r="F265" t="s">
        <v>1108</v>
      </c>
      <c r="G265" t="s">
        <v>505</v>
      </c>
      <c r="H265" t="s">
        <v>1070</v>
      </c>
      <c r="I265" s="2">
        <v>43939</v>
      </c>
      <c r="J265" s="2">
        <v>44625</v>
      </c>
      <c r="K265" t="s">
        <v>508</v>
      </c>
    </row>
    <row r="266" spans="1:11">
      <c r="A266">
        <v>265</v>
      </c>
      <c r="B266">
        <v>166549241</v>
      </c>
      <c r="C266" t="s">
        <v>320</v>
      </c>
      <c r="D266" t="s">
        <v>320</v>
      </c>
      <c r="E266" s="8" t="s">
        <v>453</v>
      </c>
      <c r="F266" t="s">
        <v>1108</v>
      </c>
      <c r="G266" t="s">
        <v>505</v>
      </c>
      <c r="H266" t="s">
        <v>1070</v>
      </c>
      <c r="I266" s="2">
        <v>43940</v>
      </c>
      <c r="J266" s="2">
        <v>44626</v>
      </c>
      <c r="K266" t="s">
        <v>508</v>
      </c>
    </row>
    <row r="267" spans="1:11">
      <c r="A267">
        <v>266</v>
      </c>
      <c r="B267">
        <v>170785399</v>
      </c>
      <c r="C267" t="s">
        <v>357</v>
      </c>
      <c r="D267" t="s">
        <v>357</v>
      </c>
      <c r="E267" s="8" t="s">
        <v>454</v>
      </c>
      <c r="F267" t="s">
        <v>272</v>
      </c>
      <c r="G267" t="s">
        <v>505</v>
      </c>
      <c r="H267" t="s">
        <v>1070</v>
      </c>
      <c r="I267" s="2">
        <v>43941</v>
      </c>
      <c r="J267" s="2">
        <v>44627</v>
      </c>
      <c r="K267" t="s">
        <v>508</v>
      </c>
    </row>
    <row r="268" spans="1:11">
      <c r="A268">
        <v>267</v>
      </c>
      <c r="B268">
        <v>166549249</v>
      </c>
      <c r="C268" t="s">
        <v>455</v>
      </c>
      <c r="D268" t="s">
        <v>1068</v>
      </c>
      <c r="E268" s="8" t="s">
        <v>456</v>
      </c>
      <c r="F268" t="s">
        <v>273</v>
      </c>
      <c r="G268" t="s">
        <v>505</v>
      </c>
      <c r="H268" t="s">
        <v>1070</v>
      </c>
      <c r="I268" s="2">
        <v>43942</v>
      </c>
      <c r="J268" s="2">
        <v>44628</v>
      </c>
      <c r="K268" t="s">
        <v>508</v>
      </c>
    </row>
    <row r="269" spans="1:11">
      <c r="A269">
        <v>268</v>
      </c>
      <c r="B269">
        <v>166549111</v>
      </c>
      <c r="C269" t="s">
        <v>320</v>
      </c>
      <c r="D269" t="s">
        <v>320</v>
      </c>
      <c r="E269" s="8" t="s">
        <v>14</v>
      </c>
      <c r="F269" t="s">
        <v>272</v>
      </c>
      <c r="G269" t="s">
        <v>505</v>
      </c>
      <c r="H269" t="s">
        <v>1070</v>
      </c>
      <c r="I269" s="2">
        <v>43943</v>
      </c>
      <c r="J269" s="2">
        <v>44629</v>
      </c>
      <c r="K269" t="s">
        <v>508</v>
      </c>
    </row>
    <row r="270" spans="1:11">
      <c r="A270">
        <v>269</v>
      </c>
      <c r="B270">
        <v>166549109</v>
      </c>
      <c r="C270" t="s">
        <v>320</v>
      </c>
      <c r="D270" t="s">
        <v>320</v>
      </c>
      <c r="E270" s="8" t="s">
        <v>14</v>
      </c>
      <c r="F270" t="s">
        <v>272</v>
      </c>
      <c r="G270" t="s">
        <v>505</v>
      </c>
      <c r="H270" t="s">
        <v>1070</v>
      </c>
      <c r="I270" s="2">
        <v>43944</v>
      </c>
      <c r="J270" s="2">
        <v>44630</v>
      </c>
      <c r="K270" t="s">
        <v>508</v>
      </c>
    </row>
    <row r="271" spans="1:11">
      <c r="A271">
        <v>270</v>
      </c>
      <c r="B271">
        <v>166552541</v>
      </c>
      <c r="C271" t="s">
        <v>395</v>
      </c>
      <c r="D271" t="s">
        <v>401</v>
      </c>
      <c r="E271" s="8" t="s">
        <v>19</v>
      </c>
      <c r="F271" t="s">
        <v>272</v>
      </c>
      <c r="G271" t="s">
        <v>505</v>
      </c>
      <c r="H271" t="s">
        <v>1070</v>
      </c>
      <c r="I271" s="2">
        <v>43945</v>
      </c>
      <c r="J271" s="2">
        <v>44631</v>
      </c>
      <c r="K271" t="s">
        <v>508</v>
      </c>
    </row>
    <row r="272" spans="1:11">
      <c r="A272">
        <v>271</v>
      </c>
      <c r="B272">
        <v>166554235</v>
      </c>
      <c r="C272" t="s">
        <v>949</v>
      </c>
      <c r="D272" t="s">
        <v>1068</v>
      </c>
      <c r="E272" s="8" t="s">
        <v>19</v>
      </c>
      <c r="F272" t="s">
        <v>272</v>
      </c>
      <c r="G272" t="s">
        <v>505</v>
      </c>
      <c r="H272" t="s">
        <v>1070</v>
      </c>
      <c r="I272" s="2">
        <v>43946</v>
      </c>
      <c r="J272" s="2">
        <v>44632</v>
      </c>
      <c r="K272" t="s">
        <v>508</v>
      </c>
    </row>
    <row r="273" spans="1:11">
      <c r="A273">
        <v>272</v>
      </c>
      <c r="B273">
        <v>166554221</v>
      </c>
      <c r="C273" t="s">
        <v>678</v>
      </c>
      <c r="D273" t="s">
        <v>678</v>
      </c>
      <c r="E273" s="8" t="s">
        <v>21</v>
      </c>
      <c r="F273" t="s">
        <v>274</v>
      </c>
      <c r="G273" t="s">
        <v>505</v>
      </c>
      <c r="H273" t="s">
        <v>1070</v>
      </c>
      <c r="I273" s="2">
        <v>43948</v>
      </c>
      <c r="J273" s="2">
        <v>44634</v>
      </c>
      <c r="K273" t="s">
        <v>508</v>
      </c>
    </row>
    <row r="274" spans="1:11">
      <c r="A274">
        <v>273</v>
      </c>
      <c r="B274">
        <v>166554231</v>
      </c>
      <c r="C274" t="s">
        <v>678</v>
      </c>
      <c r="D274" t="s">
        <v>678</v>
      </c>
      <c r="E274" s="8" t="s">
        <v>23</v>
      </c>
      <c r="F274" t="s">
        <v>1108</v>
      </c>
      <c r="G274" t="s">
        <v>505</v>
      </c>
      <c r="H274" t="s">
        <v>1070</v>
      </c>
      <c r="I274" s="2">
        <v>43949</v>
      </c>
      <c r="J274" s="2">
        <v>44635</v>
      </c>
      <c r="K274" t="s">
        <v>508</v>
      </c>
    </row>
    <row r="275" spans="1:11">
      <c r="A275">
        <v>274</v>
      </c>
      <c r="B275">
        <v>166554247</v>
      </c>
      <c r="C275" t="s">
        <v>678</v>
      </c>
      <c r="D275" t="s">
        <v>678</v>
      </c>
      <c r="E275" s="8" t="s">
        <v>25</v>
      </c>
      <c r="F275" t="s">
        <v>272</v>
      </c>
      <c r="G275" t="s">
        <v>505</v>
      </c>
      <c r="H275" t="s">
        <v>1070</v>
      </c>
      <c r="I275" s="2">
        <v>43950</v>
      </c>
      <c r="J275" s="2">
        <v>44636</v>
      </c>
      <c r="K275" t="s">
        <v>508</v>
      </c>
    </row>
    <row r="276" spans="1:11">
      <c r="A276">
        <v>275</v>
      </c>
      <c r="B276">
        <v>166549151</v>
      </c>
      <c r="C276" t="s">
        <v>372</v>
      </c>
      <c r="D276" t="s">
        <v>401</v>
      </c>
      <c r="E276" s="8" t="s">
        <v>38</v>
      </c>
      <c r="F276" t="s">
        <v>272</v>
      </c>
      <c r="G276" t="s">
        <v>505</v>
      </c>
      <c r="H276" t="s">
        <v>1070</v>
      </c>
      <c r="I276" s="2">
        <v>43951</v>
      </c>
      <c r="J276" s="2">
        <v>44637</v>
      </c>
      <c r="K276" t="s">
        <v>508</v>
      </c>
    </row>
    <row r="277" spans="1:11">
      <c r="A277">
        <v>276</v>
      </c>
      <c r="B277">
        <v>166842783</v>
      </c>
      <c r="C277" t="s">
        <v>320</v>
      </c>
      <c r="D277" t="s">
        <v>320</v>
      </c>
      <c r="E277" s="8" t="s">
        <v>41</v>
      </c>
      <c r="F277" t="s">
        <v>1108</v>
      </c>
      <c r="G277" t="s">
        <v>505</v>
      </c>
      <c r="H277" t="s">
        <v>1070</v>
      </c>
      <c r="I277" s="2">
        <v>43952</v>
      </c>
      <c r="J277" s="2">
        <v>44638</v>
      </c>
      <c r="K277" t="s">
        <v>508</v>
      </c>
    </row>
    <row r="278" spans="1:11">
      <c r="A278">
        <v>277</v>
      </c>
      <c r="B278">
        <v>166842797</v>
      </c>
      <c r="C278" t="s">
        <v>357</v>
      </c>
      <c r="D278" t="s">
        <v>357</v>
      </c>
      <c r="E278" s="8" t="s">
        <v>52</v>
      </c>
      <c r="F278" t="s">
        <v>272</v>
      </c>
      <c r="G278" t="s">
        <v>505</v>
      </c>
      <c r="H278" t="s">
        <v>1070</v>
      </c>
      <c r="I278" s="2">
        <v>43953</v>
      </c>
      <c r="J278" s="2">
        <v>44639</v>
      </c>
      <c r="K278" t="s">
        <v>508</v>
      </c>
    </row>
    <row r="279" spans="1:11">
      <c r="A279">
        <v>278</v>
      </c>
      <c r="B279">
        <v>166842807</v>
      </c>
      <c r="C279" t="s">
        <v>678</v>
      </c>
      <c r="D279" t="s">
        <v>678</v>
      </c>
      <c r="E279" s="8" t="s">
        <v>55</v>
      </c>
      <c r="F279" t="s">
        <v>272</v>
      </c>
      <c r="G279" t="s">
        <v>505</v>
      </c>
      <c r="H279" t="s">
        <v>1070</v>
      </c>
      <c r="I279" s="2">
        <v>43954</v>
      </c>
      <c r="J279" s="2">
        <v>44640</v>
      </c>
      <c r="K279" t="s">
        <v>508</v>
      </c>
    </row>
    <row r="280" spans="1:11">
      <c r="A280">
        <v>279</v>
      </c>
      <c r="B280">
        <v>166842785</v>
      </c>
      <c r="C280" t="s">
        <v>678</v>
      </c>
      <c r="D280" t="s">
        <v>678</v>
      </c>
      <c r="E280" s="8" t="s">
        <v>755</v>
      </c>
      <c r="F280" t="s">
        <v>272</v>
      </c>
      <c r="G280" t="s">
        <v>505</v>
      </c>
      <c r="H280" t="s">
        <v>1070</v>
      </c>
      <c r="I280" s="2">
        <v>43955</v>
      </c>
      <c r="J280" s="2">
        <v>44641</v>
      </c>
      <c r="K280" t="s">
        <v>508</v>
      </c>
    </row>
    <row r="281" spans="1:11">
      <c r="A281">
        <v>280</v>
      </c>
      <c r="B281">
        <v>166552649</v>
      </c>
      <c r="C281" t="s">
        <v>678</v>
      </c>
      <c r="D281" t="s">
        <v>678</v>
      </c>
      <c r="E281" s="8" t="s">
        <v>58</v>
      </c>
      <c r="F281" t="s">
        <v>272</v>
      </c>
      <c r="G281" t="s">
        <v>505</v>
      </c>
      <c r="H281" t="s">
        <v>1070</v>
      </c>
      <c r="I281" s="2">
        <v>43956</v>
      </c>
      <c r="J281" s="2">
        <v>44642</v>
      </c>
      <c r="K281" t="s">
        <v>508</v>
      </c>
    </row>
    <row r="282" spans="1:11">
      <c r="A282">
        <v>281</v>
      </c>
      <c r="B282">
        <v>166552589</v>
      </c>
      <c r="C282" t="s">
        <v>1018</v>
      </c>
      <c r="D282" t="s">
        <v>363</v>
      </c>
      <c r="E282" s="8" t="s">
        <v>79</v>
      </c>
      <c r="F282" t="s">
        <v>272</v>
      </c>
      <c r="G282" t="s">
        <v>505</v>
      </c>
      <c r="H282" t="s">
        <v>1070</v>
      </c>
      <c r="I282" s="2">
        <v>43957</v>
      </c>
      <c r="J282" s="2">
        <v>44643</v>
      </c>
      <c r="K282" t="s">
        <v>508</v>
      </c>
    </row>
    <row r="283" spans="1:11">
      <c r="A283">
        <v>282</v>
      </c>
      <c r="B283">
        <v>166549175</v>
      </c>
      <c r="C283" t="s">
        <v>678</v>
      </c>
      <c r="D283" t="s">
        <v>678</v>
      </c>
      <c r="E283" s="8" t="s">
        <v>104</v>
      </c>
      <c r="F283" t="s">
        <v>272</v>
      </c>
      <c r="G283" t="s">
        <v>505</v>
      </c>
      <c r="H283" t="s">
        <v>1070</v>
      </c>
      <c r="I283" s="2">
        <v>43959</v>
      </c>
      <c r="J283" s="2">
        <v>44645</v>
      </c>
      <c r="K283" t="s">
        <v>508</v>
      </c>
    </row>
    <row r="284" spans="1:11">
      <c r="A284">
        <v>283</v>
      </c>
      <c r="B284">
        <v>166549183</v>
      </c>
      <c r="C284" t="s">
        <v>936</v>
      </c>
      <c r="D284" t="s">
        <v>401</v>
      </c>
      <c r="E284" s="8" t="s">
        <v>104</v>
      </c>
      <c r="F284" t="s">
        <v>272</v>
      </c>
      <c r="G284" t="s">
        <v>505</v>
      </c>
      <c r="H284" t="s">
        <v>1070</v>
      </c>
      <c r="I284" s="2">
        <v>43960</v>
      </c>
      <c r="J284" s="2">
        <v>44646</v>
      </c>
      <c r="K284" t="s">
        <v>508</v>
      </c>
    </row>
    <row r="285" spans="1:11">
      <c r="A285">
        <v>284</v>
      </c>
      <c r="B285">
        <v>166549185</v>
      </c>
      <c r="C285" t="s">
        <v>332</v>
      </c>
      <c r="D285" t="s">
        <v>1068</v>
      </c>
      <c r="E285" s="8" t="s">
        <v>106</v>
      </c>
      <c r="F285" t="s">
        <v>272</v>
      </c>
      <c r="G285" t="s">
        <v>504</v>
      </c>
      <c r="H285" t="s">
        <v>1070</v>
      </c>
      <c r="I285" s="2">
        <v>43961</v>
      </c>
      <c r="J285" s="2">
        <v>44647</v>
      </c>
      <c r="K285" t="s">
        <v>508</v>
      </c>
    </row>
    <row r="286" spans="1:11">
      <c r="A286">
        <v>285</v>
      </c>
      <c r="B286">
        <v>165377610</v>
      </c>
      <c r="C286" t="s">
        <v>334</v>
      </c>
      <c r="D286" t="s">
        <v>1068</v>
      </c>
      <c r="E286" s="8" t="s">
        <v>107</v>
      </c>
      <c r="F286" t="s">
        <v>274</v>
      </c>
      <c r="G286" t="s">
        <v>504</v>
      </c>
      <c r="H286" t="s">
        <v>1070</v>
      </c>
      <c r="I286" s="2">
        <v>43962</v>
      </c>
      <c r="J286" s="2">
        <v>44648</v>
      </c>
      <c r="K286" t="s">
        <v>508</v>
      </c>
    </row>
    <row r="287" spans="1:11">
      <c r="A287">
        <v>286</v>
      </c>
      <c r="B287">
        <v>153758457</v>
      </c>
      <c r="C287" t="s">
        <v>678</v>
      </c>
      <c r="D287" t="s">
        <v>678</v>
      </c>
      <c r="E287" s="8" t="s">
        <v>114</v>
      </c>
      <c r="F287" t="s">
        <v>1108</v>
      </c>
      <c r="G287" t="s">
        <v>504</v>
      </c>
      <c r="H287" t="s">
        <v>1070</v>
      </c>
      <c r="I287" s="2">
        <v>43963</v>
      </c>
      <c r="J287" s="2">
        <v>44649</v>
      </c>
      <c r="K287" t="s">
        <v>508</v>
      </c>
    </row>
    <row r="288" spans="1:11">
      <c r="A288">
        <v>287</v>
      </c>
      <c r="B288">
        <v>156595027</v>
      </c>
      <c r="C288" t="s">
        <v>937</v>
      </c>
      <c r="D288" t="s">
        <v>401</v>
      </c>
      <c r="E288" s="8" t="s">
        <v>104</v>
      </c>
      <c r="F288" t="s">
        <v>272</v>
      </c>
      <c r="G288" t="s">
        <v>504</v>
      </c>
      <c r="H288" t="s">
        <v>1070</v>
      </c>
      <c r="I288" s="2">
        <v>43964</v>
      </c>
      <c r="J288" s="2">
        <v>44650</v>
      </c>
      <c r="K288" t="s">
        <v>508</v>
      </c>
    </row>
    <row r="289" spans="1:11">
      <c r="A289">
        <v>288</v>
      </c>
      <c r="B289">
        <v>167452618</v>
      </c>
      <c r="C289" t="s">
        <v>320</v>
      </c>
      <c r="D289" t="s">
        <v>320</v>
      </c>
      <c r="E289" s="8" t="s">
        <v>117</v>
      </c>
      <c r="F289" t="s">
        <v>272</v>
      </c>
      <c r="G289" t="s">
        <v>504</v>
      </c>
      <c r="H289" t="s">
        <v>1070</v>
      </c>
      <c r="I289" s="2">
        <v>43965</v>
      </c>
      <c r="J289" s="2">
        <v>44651</v>
      </c>
      <c r="K289" t="s">
        <v>508</v>
      </c>
    </row>
    <row r="290" spans="1:11">
      <c r="A290">
        <v>289</v>
      </c>
      <c r="B290">
        <v>157995282</v>
      </c>
      <c r="C290" t="s">
        <v>320</v>
      </c>
      <c r="D290" t="s">
        <v>320</v>
      </c>
      <c r="E290" s="8" t="s">
        <v>118</v>
      </c>
      <c r="F290" t="s">
        <v>272</v>
      </c>
      <c r="G290" t="s">
        <v>504</v>
      </c>
      <c r="H290" t="s">
        <v>1070</v>
      </c>
      <c r="I290" s="2">
        <v>43966</v>
      </c>
      <c r="J290" s="2">
        <v>44652</v>
      </c>
      <c r="K290" t="s">
        <v>508</v>
      </c>
    </row>
    <row r="291" spans="1:11">
      <c r="A291">
        <v>290</v>
      </c>
      <c r="B291">
        <v>166551457</v>
      </c>
      <c r="C291" t="s">
        <v>357</v>
      </c>
      <c r="D291" t="s">
        <v>357</v>
      </c>
      <c r="E291" s="8" t="s">
        <v>789</v>
      </c>
      <c r="F291" t="s">
        <v>272</v>
      </c>
      <c r="G291" t="s">
        <v>504</v>
      </c>
      <c r="H291" t="s">
        <v>1070</v>
      </c>
      <c r="I291" s="2">
        <v>43967</v>
      </c>
      <c r="J291" s="2">
        <v>44653</v>
      </c>
      <c r="K291" t="s">
        <v>508</v>
      </c>
    </row>
    <row r="292" spans="1:11">
      <c r="A292">
        <v>291</v>
      </c>
      <c r="B292">
        <v>168100991</v>
      </c>
      <c r="C292" t="s">
        <v>350</v>
      </c>
      <c r="D292" t="s">
        <v>1042</v>
      </c>
      <c r="E292" s="8" t="s">
        <v>133</v>
      </c>
      <c r="F292" t="s">
        <v>276</v>
      </c>
      <c r="G292" t="s">
        <v>504</v>
      </c>
      <c r="H292" t="s">
        <v>1070</v>
      </c>
      <c r="I292" s="2">
        <v>43968</v>
      </c>
      <c r="J292" s="2">
        <v>44654</v>
      </c>
      <c r="K292" t="s">
        <v>508</v>
      </c>
    </row>
    <row r="293" spans="1:11">
      <c r="A293">
        <v>292</v>
      </c>
      <c r="B293">
        <v>166843377</v>
      </c>
      <c r="D293" t="s">
        <v>1108</v>
      </c>
      <c r="E293" s="8" t="s">
        <v>187</v>
      </c>
      <c r="F293" t="s">
        <v>273</v>
      </c>
      <c r="I293" s="2">
        <v>43969</v>
      </c>
      <c r="J293" s="2">
        <v>44655</v>
      </c>
      <c r="K293" t="s">
        <v>508</v>
      </c>
    </row>
    <row r="294" spans="1:11">
      <c r="A294">
        <v>293</v>
      </c>
      <c r="B294">
        <v>166551473</v>
      </c>
      <c r="C294" t="s">
        <v>346</v>
      </c>
      <c r="D294" t="s">
        <v>346</v>
      </c>
      <c r="E294" s="8" t="s">
        <v>195</v>
      </c>
      <c r="F294" t="s">
        <v>1108</v>
      </c>
      <c r="G294" t="s">
        <v>504</v>
      </c>
      <c r="H294" t="s">
        <v>1070</v>
      </c>
      <c r="I294" s="2">
        <v>43970</v>
      </c>
      <c r="J294" s="2">
        <v>44656</v>
      </c>
      <c r="K294" t="s">
        <v>508</v>
      </c>
    </row>
    <row r="295" spans="1:11">
      <c r="A295">
        <v>294</v>
      </c>
      <c r="B295">
        <v>170997199</v>
      </c>
      <c r="C295" t="s">
        <v>678</v>
      </c>
      <c r="D295" t="s">
        <v>678</v>
      </c>
      <c r="E295" s="8" t="s">
        <v>211</v>
      </c>
      <c r="F295" t="s">
        <v>272</v>
      </c>
      <c r="G295" t="s">
        <v>504</v>
      </c>
      <c r="H295" t="s">
        <v>1070</v>
      </c>
      <c r="I295" s="2">
        <v>43971</v>
      </c>
      <c r="J295" s="2">
        <v>44657</v>
      </c>
      <c r="K295" t="s">
        <v>508</v>
      </c>
    </row>
    <row r="296" spans="1:11">
      <c r="A296">
        <v>295</v>
      </c>
      <c r="B296">
        <v>170999329</v>
      </c>
      <c r="C296" t="s">
        <v>381</v>
      </c>
      <c r="D296" t="s">
        <v>1042</v>
      </c>
      <c r="E296" s="8" t="s">
        <v>211</v>
      </c>
      <c r="F296" t="s">
        <v>272</v>
      </c>
      <c r="G296" t="s">
        <v>504</v>
      </c>
      <c r="H296" t="s">
        <v>1070</v>
      </c>
      <c r="I296" s="2">
        <v>43972</v>
      </c>
      <c r="J296" s="2">
        <v>44658</v>
      </c>
      <c r="K296" t="s">
        <v>508</v>
      </c>
    </row>
    <row r="297" spans="1:11">
      <c r="A297">
        <v>296</v>
      </c>
      <c r="B297">
        <v>166488248</v>
      </c>
      <c r="C297" t="s">
        <v>1026</v>
      </c>
      <c r="D297" t="s">
        <v>363</v>
      </c>
      <c r="E297" s="8" t="s">
        <v>211</v>
      </c>
      <c r="F297" t="s">
        <v>272</v>
      </c>
      <c r="G297" t="s">
        <v>504</v>
      </c>
      <c r="H297" t="s">
        <v>1070</v>
      </c>
      <c r="I297" s="2">
        <v>43973</v>
      </c>
      <c r="J297" s="2">
        <v>44659</v>
      </c>
      <c r="K297" t="s">
        <v>508</v>
      </c>
    </row>
    <row r="298" spans="1:11">
      <c r="A298">
        <v>297</v>
      </c>
      <c r="B298">
        <v>158216386</v>
      </c>
      <c r="C298" t="s">
        <v>382</v>
      </c>
      <c r="D298" t="s">
        <v>1042</v>
      </c>
      <c r="E298" s="8" t="s">
        <v>211</v>
      </c>
      <c r="F298" t="s">
        <v>272</v>
      </c>
      <c r="G298" t="s">
        <v>504</v>
      </c>
      <c r="H298" t="s">
        <v>1070</v>
      </c>
      <c r="I298" s="2">
        <v>43974</v>
      </c>
      <c r="J298" s="2">
        <v>44660</v>
      </c>
      <c r="K298" t="s">
        <v>508</v>
      </c>
    </row>
    <row r="299" spans="1:11">
      <c r="A299">
        <v>298</v>
      </c>
      <c r="B299">
        <v>166843899</v>
      </c>
      <c r="C299" t="s">
        <v>678</v>
      </c>
      <c r="D299" t="s">
        <v>678</v>
      </c>
      <c r="E299" s="8"/>
      <c r="F299" t="s">
        <v>272</v>
      </c>
      <c r="G299" t="s">
        <v>504</v>
      </c>
      <c r="H299" t="s">
        <v>1070</v>
      </c>
      <c r="I299" s="2">
        <v>43975</v>
      </c>
      <c r="J299" s="2">
        <v>44661</v>
      </c>
      <c r="K299" t="s">
        <v>508</v>
      </c>
    </row>
    <row r="300" spans="1:11">
      <c r="A300">
        <v>299</v>
      </c>
      <c r="B300">
        <v>166549227</v>
      </c>
      <c r="C300" t="s">
        <v>998</v>
      </c>
      <c r="D300" t="s">
        <v>1042</v>
      </c>
      <c r="E300" s="8" t="s">
        <v>457</v>
      </c>
      <c r="F300" t="s">
        <v>274</v>
      </c>
      <c r="G300" t="s">
        <v>504</v>
      </c>
      <c r="H300" t="s">
        <v>1070</v>
      </c>
      <c r="I300" s="2">
        <v>43976</v>
      </c>
      <c r="J300" s="2">
        <v>44662</v>
      </c>
      <c r="K300" t="s">
        <v>508</v>
      </c>
    </row>
    <row r="301" spans="1:11">
      <c r="A301">
        <v>300</v>
      </c>
      <c r="B301">
        <v>166549219</v>
      </c>
      <c r="C301" t="s">
        <v>357</v>
      </c>
      <c r="D301" t="s">
        <v>357</v>
      </c>
      <c r="E301" s="8" t="s">
        <v>458</v>
      </c>
      <c r="F301" t="s">
        <v>273</v>
      </c>
      <c r="G301" t="s">
        <v>504</v>
      </c>
      <c r="H301" t="s">
        <v>1070</v>
      </c>
      <c r="I301" s="2">
        <v>43977</v>
      </c>
      <c r="J301" s="2">
        <v>44663</v>
      </c>
      <c r="K301" t="s">
        <v>508</v>
      </c>
    </row>
    <row r="302" spans="1:11">
      <c r="A302">
        <v>301</v>
      </c>
      <c r="B302">
        <v>166549239</v>
      </c>
      <c r="C302" t="s">
        <v>356</v>
      </c>
      <c r="D302" t="s">
        <v>1068</v>
      </c>
      <c r="E302" s="8" t="s">
        <v>458</v>
      </c>
      <c r="F302" t="s">
        <v>273</v>
      </c>
      <c r="G302" t="s">
        <v>504</v>
      </c>
      <c r="H302" t="s">
        <v>1070</v>
      </c>
      <c r="I302" s="2">
        <v>43978</v>
      </c>
      <c r="J302" s="2">
        <v>44664</v>
      </c>
      <c r="K302" t="s">
        <v>508</v>
      </c>
    </row>
    <row r="303" spans="1:11">
      <c r="A303">
        <v>302</v>
      </c>
      <c r="B303">
        <v>166549221</v>
      </c>
      <c r="C303" t="s">
        <v>455</v>
      </c>
      <c r="D303" t="s">
        <v>1068</v>
      </c>
      <c r="E303" s="8" t="s">
        <v>458</v>
      </c>
      <c r="F303" t="s">
        <v>273</v>
      </c>
      <c r="G303" t="s">
        <v>504</v>
      </c>
      <c r="H303" t="s">
        <v>1070</v>
      </c>
      <c r="I303" s="2">
        <v>43979</v>
      </c>
      <c r="J303" s="2">
        <v>44665</v>
      </c>
      <c r="K303" t="s">
        <v>508</v>
      </c>
    </row>
    <row r="304" spans="1:11">
      <c r="A304">
        <v>303</v>
      </c>
      <c r="B304">
        <v>167435634</v>
      </c>
      <c r="C304" t="s">
        <v>357</v>
      </c>
      <c r="D304" t="s">
        <v>357</v>
      </c>
      <c r="E304" s="8" t="s">
        <v>460</v>
      </c>
      <c r="F304" t="s">
        <v>273</v>
      </c>
      <c r="G304" t="s">
        <v>504</v>
      </c>
      <c r="H304" t="s">
        <v>1070</v>
      </c>
      <c r="I304" s="2">
        <v>43980</v>
      </c>
      <c r="J304" s="2">
        <v>44666</v>
      </c>
      <c r="K304" t="s">
        <v>508</v>
      </c>
    </row>
    <row r="305" spans="1:11">
      <c r="A305">
        <v>304</v>
      </c>
      <c r="B305">
        <v>159087786</v>
      </c>
      <c r="C305" t="s">
        <v>320</v>
      </c>
      <c r="D305" t="s">
        <v>320</v>
      </c>
      <c r="E305" s="8" t="s">
        <v>461</v>
      </c>
      <c r="F305" t="s">
        <v>280</v>
      </c>
      <c r="G305" t="s">
        <v>504</v>
      </c>
      <c r="H305" t="s">
        <v>1070</v>
      </c>
      <c r="I305" s="2">
        <v>43981</v>
      </c>
      <c r="J305" s="2">
        <v>44667</v>
      </c>
      <c r="K305" t="s">
        <v>508</v>
      </c>
    </row>
    <row r="306" spans="1:11">
      <c r="A306">
        <v>305</v>
      </c>
      <c r="B306">
        <v>165377586</v>
      </c>
      <c r="C306" t="s">
        <v>678</v>
      </c>
      <c r="D306" t="s">
        <v>678</v>
      </c>
      <c r="E306" s="8" t="s">
        <v>452</v>
      </c>
      <c r="F306" t="s">
        <v>274</v>
      </c>
      <c r="G306" t="s">
        <v>504</v>
      </c>
      <c r="H306" t="s">
        <v>1070</v>
      </c>
      <c r="I306" s="2">
        <v>43982</v>
      </c>
      <c r="J306" s="2">
        <v>44668</v>
      </c>
      <c r="K306" t="s">
        <v>508</v>
      </c>
    </row>
    <row r="307" spans="1:11">
      <c r="A307">
        <v>306</v>
      </c>
      <c r="B307">
        <v>165377588</v>
      </c>
      <c r="C307" t="s">
        <v>285</v>
      </c>
      <c r="D307" t="s">
        <v>1068</v>
      </c>
      <c r="E307" s="8" t="s">
        <v>13</v>
      </c>
      <c r="F307" t="s">
        <v>1108</v>
      </c>
      <c r="G307" t="s">
        <v>504</v>
      </c>
      <c r="H307" t="s">
        <v>1070</v>
      </c>
      <c r="I307" s="2">
        <v>43983</v>
      </c>
      <c r="J307" s="2">
        <v>44669</v>
      </c>
      <c r="K307" t="s">
        <v>508</v>
      </c>
    </row>
    <row r="308" spans="1:11">
      <c r="A308">
        <v>307</v>
      </c>
      <c r="B308">
        <v>148458568</v>
      </c>
      <c r="C308" t="s">
        <v>320</v>
      </c>
      <c r="D308" t="s">
        <v>320</v>
      </c>
      <c r="E308" s="8" t="s">
        <v>15</v>
      </c>
      <c r="F308" t="s">
        <v>1108</v>
      </c>
      <c r="G308" t="s">
        <v>504</v>
      </c>
      <c r="H308" t="s">
        <v>1070</v>
      </c>
      <c r="I308" s="2">
        <v>43984</v>
      </c>
      <c r="J308" s="2">
        <v>44670</v>
      </c>
      <c r="K308" t="s">
        <v>508</v>
      </c>
    </row>
    <row r="309" spans="1:11">
      <c r="A309">
        <v>308</v>
      </c>
      <c r="B309">
        <v>148460262</v>
      </c>
      <c r="C309" t="s">
        <v>286</v>
      </c>
      <c r="D309" t="s">
        <v>1068</v>
      </c>
      <c r="E309" s="8" t="s">
        <v>15</v>
      </c>
      <c r="F309" t="s">
        <v>1108</v>
      </c>
      <c r="G309" t="s">
        <v>504</v>
      </c>
      <c r="H309" t="s">
        <v>1070</v>
      </c>
      <c r="I309" s="2">
        <v>43985</v>
      </c>
      <c r="J309" s="2">
        <v>44671</v>
      </c>
      <c r="K309" t="s">
        <v>508</v>
      </c>
    </row>
    <row r="310" spans="1:11">
      <c r="A310">
        <v>309</v>
      </c>
      <c r="B310">
        <v>143060770</v>
      </c>
      <c r="C310" t="s">
        <v>287</v>
      </c>
      <c r="D310" t="s">
        <v>1068</v>
      </c>
      <c r="E310" s="8" t="s">
        <v>15</v>
      </c>
      <c r="F310" t="s">
        <v>1108</v>
      </c>
      <c r="G310" t="s">
        <v>504</v>
      </c>
      <c r="H310" t="s">
        <v>1070</v>
      </c>
      <c r="I310" s="2">
        <v>43986</v>
      </c>
      <c r="J310" s="2">
        <v>44672</v>
      </c>
      <c r="K310" t="s">
        <v>508</v>
      </c>
    </row>
    <row r="311" spans="1:11">
      <c r="A311">
        <v>310</v>
      </c>
      <c r="B311">
        <v>148460006</v>
      </c>
      <c r="C311" t="s">
        <v>678</v>
      </c>
      <c r="D311" t="s">
        <v>678</v>
      </c>
      <c r="E311" s="8" t="s">
        <v>15</v>
      </c>
      <c r="F311" t="s">
        <v>1108</v>
      </c>
      <c r="G311" t="s">
        <v>504</v>
      </c>
      <c r="H311" t="s">
        <v>1070</v>
      </c>
      <c r="I311" s="2">
        <v>43987</v>
      </c>
      <c r="J311" s="2">
        <v>44673</v>
      </c>
      <c r="K311" t="s">
        <v>508</v>
      </c>
    </row>
    <row r="312" spans="1:11">
      <c r="A312">
        <v>311</v>
      </c>
      <c r="B312">
        <v>143026296</v>
      </c>
      <c r="C312" t="s">
        <v>288</v>
      </c>
      <c r="D312" t="s">
        <v>363</v>
      </c>
      <c r="E312" s="8" t="s">
        <v>15</v>
      </c>
      <c r="F312" t="s">
        <v>1108</v>
      </c>
      <c r="G312" t="s">
        <v>504</v>
      </c>
      <c r="H312" t="s">
        <v>1070</v>
      </c>
      <c r="I312" s="2">
        <v>43988</v>
      </c>
      <c r="J312" s="2">
        <v>44674</v>
      </c>
      <c r="K312" t="s">
        <v>508</v>
      </c>
    </row>
    <row r="313" spans="1:11">
      <c r="A313">
        <v>312</v>
      </c>
      <c r="B313">
        <v>166551355</v>
      </c>
      <c r="C313" t="s">
        <v>320</v>
      </c>
      <c r="D313" t="s">
        <v>320</v>
      </c>
      <c r="E313" s="8" t="s">
        <v>16</v>
      </c>
      <c r="F313" t="s">
        <v>273</v>
      </c>
      <c r="G313" t="s">
        <v>504</v>
      </c>
      <c r="H313" t="s">
        <v>1070</v>
      </c>
      <c r="I313" s="2">
        <v>43989</v>
      </c>
      <c r="J313" s="2">
        <v>44675</v>
      </c>
      <c r="K313" t="s">
        <v>508</v>
      </c>
    </row>
    <row r="314" spans="1:11">
      <c r="A314">
        <v>313</v>
      </c>
      <c r="B314">
        <v>166554223</v>
      </c>
      <c r="C314" t="s">
        <v>320</v>
      </c>
      <c r="D314" t="s">
        <v>320</v>
      </c>
      <c r="E314" s="8" t="s">
        <v>16</v>
      </c>
      <c r="F314" t="s">
        <v>273</v>
      </c>
      <c r="G314" t="s">
        <v>504</v>
      </c>
      <c r="H314" t="s">
        <v>1070</v>
      </c>
      <c r="I314" s="2">
        <v>43990</v>
      </c>
      <c r="J314" s="2">
        <v>44676</v>
      </c>
      <c r="K314" t="s">
        <v>508</v>
      </c>
    </row>
    <row r="315" spans="1:11">
      <c r="A315">
        <v>314</v>
      </c>
      <c r="B315">
        <v>166554219</v>
      </c>
      <c r="C315" t="s">
        <v>291</v>
      </c>
      <c r="D315" t="s">
        <v>363</v>
      </c>
      <c r="E315" s="8" t="s">
        <v>17</v>
      </c>
      <c r="F315" t="s">
        <v>274</v>
      </c>
      <c r="G315" t="s">
        <v>504</v>
      </c>
      <c r="H315" t="s">
        <v>1070</v>
      </c>
      <c r="I315" s="2">
        <v>43991</v>
      </c>
      <c r="J315" s="2">
        <v>44677</v>
      </c>
      <c r="K315" t="s">
        <v>508</v>
      </c>
    </row>
    <row r="316" spans="1:11">
      <c r="A316">
        <v>315</v>
      </c>
      <c r="B316">
        <v>166554239</v>
      </c>
      <c r="C316" t="s">
        <v>341</v>
      </c>
      <c r="D316" t="s">
        <v>1042</v>
      </c>
      <c r="E316" s="8" t="s">
        <v>18</v>
      </c>
      <c r="F316" t="s">
        <v>274</v>
      </c>
      <c r="G316" t="s">
        <v>504</v>
      </c>
      <c r="H316" t="s">
        <v>1070</v>
      </c>
      <c r="I316" s="2">
        <v>43992</v>
      </c>
      <c r="J316" s="2">
        <v>44678</v>
      </c>
      <c r="K316" t="s">
        <v>508</v>
      </c>
    </row>
    <row r="317" spans="1:11">
      <c r="A317">
        <v>316</v>
      </c>
      <c r="B317">
        <v>166552527</v>
      </c>
      <c r="C317" t="s">
        <v>11</v>
      </c>
      <c r="D317" t="s">
        <v>401</v>
      </c>
      <c r="E317" s="8" t="s">
        <v>18</v>
      </c>
      <c r="F317" t="s">
        <v>274</v>
      </c>
      <c r="G317" t="s">
        <v>504</v>
      </c>
      <c r="H317" t="s">
        <v>1070</v>
      </c>
      <c r="I317" s="2">
        <v>43993</v>
      </c>
      <c r="J317" s="2">
        <v>44679</v>
      </c>
      <c r="K317" t="s">
        <v>508</v>
      </c>
    </row>
    <row r="318" spans="1:11">
      <c r="A318">
        <v>317</v>
      </c>
      <c r="B318">
        <v>166552531</v>
      </c>
      <c r="C318" t="s">
        <v>913</v>
      </c>
      <c r="D318" t="s">
        <v>1042</v>
      </c>
      <c r="E318" s="8" t="s">
        <v>18</v>
      </c>
      <c r="F318" t="s">
        <v>274</v>
      </c>
      <c r="G318" t="s">
        <v>504</v>
      </c>
      <c r="H318" t="s">
        <v>1070</v>
      </c>
      <c r="I318" s="2">
        <v>43994</v>
      </c>
      <c r="J318" s="2">
        <v>44680</v>
      </c>
      <c r="K318" t="s">
        <v>508</v>
      </c>
    </row>
    <row r="319" spans="1:11">
      <c r="A319">
        <v>318</v>
      </c>
      <c r="B319">
        <v>166552545</v>
      </c>
      <c r="C319" t="s">
        <v>357</v>
      </c>
      <c r="D319" t="s">
        <v>357</v>
      </c>
      <c r="E319" s="8" t="s">
        <v>19</v>
      </c>
      <c r="F319" t="s">
        <v>272</v>
      </c>
      <c r="G319" t="s">
        <v>504</v>
      </c>
      <c r="H319" t="s">
        <v>1070</v>
      </c>
      <c r="I319" s="2">
        <v>43995</v>
      </c>
      <c r="J319" s="2">
        <v>44681</v>
      </c>
      <c r="K319" t="s">
        <v>508</v>
      </c>
    </row>
    <row r="320" spans="1:11">
      <c r="A320">
        <v>319</v>
      </c>
      <c r="B320">
        <v>166554249</v>
      </c>
      <c r="C320" t="s">
        <v>357</v>
      </c>
      <c r="D320" t="s">
        <v>357</v>
      </c>
      <c r="E320" s="8" t="s">
        <v>19</v>
      </c>
      <c r="F320" t="s">
        <v>272</v>
      </c>
      <c r="G320" t="s">
        <v>504</v>
      </c>
      <c r="H320" t="s">
        <v>1070</v>
      </c>
      <c r="I320" s="2">
        <v>43996</v>
      </c>
      <c r="J320" s="2">
        <v>44682</v>
      </c>
      <c r="K320" t="s">
        <v>508</v>
      </c>
    </row>
    <row r="321" spans="1:11">
      <c r="A321">
        <v>320</v>
      </c>
      <c r="B321">
        <v>166552523</v>
      </c>
      <c r="C321" t="s">
        <v>320</v>
      </c>
      <c r="D321" t="s">
        <v>320</v>
      </c>
      <c r="E321" s="8" t="s">
        <v>19</v>
      </c>
      <c r="F321" t="s">
        <v>272</v>
      </c>
      <c r="G321" t="s">
        <v>504</v>
      </c>
      <c r="H321" t="s">
        <v>1070</v>
      </c>
      <c r="I321" s="2">
        <v>43997</v>
      </c>
      <c r="J321" s="2">
        <v>44683</v>
      </c>
      <c r="K321" t="s">
        <v>508</v>
      </c>
    </row>
    <row r="322" spans="1:11">
      <c r="A322">
        <v>321</v>
      </c>
      <c r="B322">
        <v>166554233</v>
      </c>
      <c r="C322" t="s">
        <v>357</v>
      </c>
      <c r="D322" t="s">
        <v>357</v>
      </c>
      <c r="E322" s="8" t="s">
        <v>19</v>
      </c>
      <c r="F322" t="s">
        <v>272</v>
      </c>
      <c r="G322" t="s">
        <v>504</v>
      </c>
      <c r="H322" t="s">
        <v>1070</v>
      </c>
      <c r="I322" s="2">
        <v>43998</v>
      </c>
      <c r="J322" s="2">
        <v>44684</v>
      </c>
      <c r="K322" t="s">
        <v>508</v>
      </c>
    </row>
    <row r="323" spans="1:11">
      <c r="A323">
        <v>322</v>
      </c>
      <c r="B323">
        <v>166552551</v>
      </c>
      <c r="C323" t="s">
        <v>292</v>
      </c>
      <c r="D323" t="s">
        <v>363</v>
      </c>
      <c r="E323" s="8" t="s">
        <v>19</v>
      </c>
      <c r="F323" t="s">
        <v>272</v>
      </c>
      <c r="G323" t="s">
        <v>504</v>
      </c>
      <c r="H323" t="s">
        <v>1070</v>
      </c>
      <c r="I323" s="2">
        <v>43999</v>
      </c>
      <c r="J323" s="2">
        <v>44685</v>
      </c>
      <c r="K323" t="s">
        <v>508</v>
      </c>
    </row>
    <row r="324" spans="1:11">
      <c r="A324">
        <v>323</v>
      </c>
      <c r="B324">
        <v>166841271</v>
      </c>
      <c r="C324" t="s">
        <v>949</v>
      </c>
      <c r="D324" t="s">
        <v>1068</v>
      </c>
      <c r="E324" s="8" t="s">
        <v>19</v>
      </c>
      <c r="F324" t="s">
        <v>272</v>
      </c>
      <c r="G324" t="s">
        <v>504</v>
      </c>
      <c r="H324" t="s">
        <v>1070</v>
      </c>
      <c r="I324" s="2">
        <v>44000</v>
      </c>
      <c r="J324" s="2">
        <v>44686</v>
      </c>
      <c r="K324" t="s">
        <v>508</v>
      </c>
    </row>
    <row r="325" spans="1:11">
      <c r="A325">
        <v>324</v>
      </c>
      <c r="B325">
        <v>166841275</v>
      </c>
      <c r="C325" t="s">
        <v>357</v>
      </c>
      <c r="D325" t="s">
        <v>357</v>
      </c>
      <c r="E325" s="8" t="s">
        <v>19</v>
      </c>
      <c r="F325" t="s">
        <v>272</v>
      </c>
      <c r="G325" t="s">
        <v>504</v>
      </c>
      <c r="H325" t="s">
        <v>1070</v>
      </c>
      <c r="I325" s="2">
        <v>44001</v>
      </c>
      <c r="J325" s="2">
        <v>44687</v>
      </c>
      <c r="K325" t="s">
        <v>508</v>
      </c>
    </row>
    <row r="326" spans="1:11">
      <c r="A326">
        <v>325</v>
      </c>
      <c r="B326">
        <v>166554245</v>
      </c>
      <c r="C326" t="s">
        <v>678</v>
      </c>
      <c r="D326" t="s">
        <v>678</v>
      </c>
      <c r="E326" s="8" t="s">
        <v>21</v>
      </c>
      <c r="F326" t="s">
        <v>274</v>
      </c>
      <c r="G326" t="s">
        <v>504</v>
      </c>
      <c r="H326" t="s">
        <v>1070</v>
      </c>
      <c r="I326" s="2">
        <v>44002</v>
      </c>
      <c r="J326" s="2">
        <v>44688</v>
      </c>
      <c r="K326" t="s">
        <v>508</v>
      </c>
    </row>
    <row r="327" spans="1:11">
      <c r="A327">
        <v>326</v>
      </c>
      <c r="B327">
        <v>166552519</v>
      </c>
      <c r="C327" t="s">
        <v>678</v>
      </c>
      <c r="D327" t="s">
        <v>678</v>
      </c>
      <c r="E327" s="8" t="s">
        <v>22</v>
      </c>
      <c r="F327" t="s">
        <v>1108</v>
      </c>
      <c r="G327" t="s">
        <v>504</v>
      </c>
      <c r="H327" t="s">
        <v>1070</v>
      </c>
      <c r="I327" s="2">
        <v>44003</v>
      </c>
      <c r="J327" s="2">
        <v>44689</v>
      </c>
      <c r="K327" t="s">
        <v>508</v>
      </c>
    </row>
    <row r="328" spans="1:11">
      <c r="A328">
        <v>327</v>
      </c>
      <c r="B328">
        <v>166552525</v>
      </c>
      <c r="C328" t="s">
        <v>357</v>
      </c>
      <c r="D328" t="s">
        <v>357</v>
      </c>
      <c r="E328" s="8" t="s">
        <v>26</v>
      </c>
      <c r="F328" t="s">
        <v>273</v>
      </c>
      <c r="G328" t="s">
        <v>504</v>
      </c>
      <c r="H328" t="s">
        <v>1070</v>
      </c>
      <c r="I328" s="2">
        <v>44004</v>
      </c>
      <c r="J328" s="2">
        <v>44690</v>
      </c>
      <c r="K328" t="s">
        <v>508</v>
      </c>
    </row>
    <row r="329" spans="1:11">
      <c r="A329">
        <v>328</v>
      </c>
      <c r="B329">
        <v>166552521</v>
      </c>
      <c r="C329" t="s">
        <v>999</v>
      </c>
      <c r="D329" t="s">
        <v>1042</v>
      </c>
      <c r="E329" s="8" t="s">
        <v>26</v>
      </c>
      <c r="F329" t="s">
        <v>272</v>
      </c>
      <c r="G329" t="s">
        <v>493</v>
      </c>
      <c r="H329" t="s">
        <v>1070</v>
      </c>
      <c r="I329" s="2">
        <v>44005</v>
      </c>
      <c r="J329" s="2">
        <v>44691</v>
      </c>
      <c r="K329" t="s">
        <v>508</v>
      </c>
    </row>
    <row r="330" spans="1:11">
      <c r="A330">
        <v>329</v>
      </c>
      <c r="B330">
        <v>166552515</v>
      </c>
      <c r="C330" t="s">
        <v>357</v>
      </c>
      <c r="D330" t="s">
        <v>357</v>
      </c>
      <c r="E330" s="8" t="s">
        <v>29</v>
      </c>
      <c r="F330" t="s">
        <v>272</v>
      </c>
      <c r="G330" t="s">
        <v>493</v>
      </c>
      <c r="H330" t="s">
        <v>1070</v>
      </c>
      <c r="I330" s="2">
        <v>44006</v>
      </c>
      <c r="J330" s="2">
        <v>44697</v>
      </c>
      <c r="K330" t="s">
        <v>508</v>
      </c>
    </row>
    <row r="331" spans="1:11">
      <c r="A331">
        <v>330</v>
      </c>
      <c r="B331">
        <v>166552517</v>
      </c>
      <c r="C331" t="s">
        <v>297</v>
      </c>
      <c r="D331" t="s">
        <v>363</v>
      </c>
      <c r="E331" s="8" t="s">
        <v>29</v>
      </c>
      <c r="F331" t="s">
        <v>272</v>
      </c>
      <c r="G331" t="s">
        <v>493</v>
      </c>
      <c r="H331" t="s">
        <v>1070</v>
      </c>
      <c r="I331" s="2">
        <v>44006</v>
      </c>
      <c r="J331" s="2">
        <v>44701</v>
      </c>
      <c r="K331" t="s">
        <v>508</v>
      </c>
    </row>
    <row r="332" spans="1:11">
      <c r="A332">
        <v>331</v>
      </c>
      <c r="B332">
        <v>166552543</v>
      </c>
      <c r="C332" t="s">
        <v>1000</v>
      </c>
      <c r="D332" t="s">
        <v>1042</v>
      </c>
      <c r="E332" s="8" t="s">
        <v>26</v>
      </c>
      <c r="F332" t="s">
        <v>272</v>
      </c>
      <c r="G332" t="s">
        <v>493</v>
      </c>
      <c r="H332" t="s">
        <v>1070</v>
      </c>
      <c r="I332" s="2">
        <v>44006</v>
      </c>
      <c r="J332" s="2">
        <v>44692</v>
      </c>
      <c r="K332" t="s">
        <v>508</v>
      </c>
    </row>
    <row r="333" spans="1:11">
      <c r="A333">
        <v>332</v>
      </c>
      <c r="B333">
        <v>166552549</v>
      </c>
      <c r="C333" t="s">
        <v>1019</v>
      </c>
      <c r="D333" t="s">
        <v>363</v>
      </c>
      <c r="E333" s="8" t="s">
        <v>27</v>
      </c>
      <c r="F333" t="s">
        <v>272</v>
      </c>
      <c r="G333" t="s">
        <v>493</v>
      </c>
      <c r="H333" t="s">
        <v>1070</v>
      </c>
      <c r="I333" s="2">
        <v>44006</v>
      </c>
      <c r="J333" s="2">
        <v>44694</v>
      </c>
      <c r="K333" t="s">
        <v>508</v>
      </c>
    </row>
    <row r="334" spans="1:11">
      <c r="A334">
        <v>333</v>
      </c>
      <c r="B334">
        <v>166554227</v>
      </c>
      <c r="C334" t="s">
        <v>295</v>
      </c>
      <c r="D334" t="s">
        <v>1068</v>
      </c>
      <c r="E334" s="8" t="s">
        <v>28</v>
      </c>
      <c r="F334" t="s">
        <v>273</v>
      </c>
      <c r="G334" t="s">
        <v>493</v>
      </c>
      <c r="H334" t="s">
        <v>1070</v>
      </c>
      <c r="I334" s="2">
        <v>44006</v>
      </c>
      <c r="J334" s="2">
        <v>44695</v>
      </c>
      <c r="K334" t="s">
        <v>508</v>
      </c>
    </row>
    <row r="335" spans="1:11">
      <c r="A335">
        <v>334</v>
      </c>
      <c r="B335">
        <v>166554251</v>
      </c>
      <c r="C335" t="s">
        <v>306</v>
      </c>
      <c r="D335" t="s">
        <v>306</v>
      </c>
      <c r="E335" s="8" t="s">
        <v>27</v>
      </c>
      <c r="F335" t="s">
        <v>272</v>
      </c>
      <c r="G335" t="s">
        <v>493</v>
      </c>
      <c r="H335" t="s">
        <v>1070</v>
      </c>
      <c r="I335" s="2">
        <v>44006</v>
      </c>
      <c r="J335" s="2">
        <v>44693</v>
      </c>
      <c r="K335" t="s">
        <v>508</v>
      </c>
    </row>
    <row r="336" spans="1:11">
      <c r="A336">
        <v>335</v>
      </c>
      <c r="B336">
        <v>166841283</v>
      </c>
      <c r="C336" t="s">
        <v>386</v>
      </c>
      <c r="D336" t="s">
        <v>363</v>
      </c>
      <c r="E336" s="8" t="s">
        <v>32</v>
      </c>
      <c r="F336" t="s">
        <v>272</v>
      </c>
      <c r="G336" t="s">
        <v>493</v>
      </c>
      <c r="H336" t="s">
        <v>1070</v>
      </c>
      <c r="I336" s="2">
        <v>44006</v>
      </c>
      <c r="J336" s="2">
        <v>44706</v>
      </c>
      <c r="K336" t="s">
        <v>508</v>
      </c>
    </row>
    <row r="337" spans="1:11">
      <c r="A337">
        <v>336</v>
      </c>
      <c r="B337">
        <v>166554241</v>
      </c>
      <c r="C337" t="s">
        <v>320</v>
      </c>
      <c r="D337" t="s">
        <v>320</v>
      </c>
      <c r="E337" s="8" t="s">
        <v>29</v>
      </c>
      <c r="F337" t="s">
        <v>272</v>
      </c>
      <c r="G337" t="s">
        <v>493</v>
      </c>
      <c r="H337" t="s">
        <v>1070</v>
      </c>
      <c r="I337" s="2">
        <v>44010</v>
      </c>
      <c r="J337" s="2">
        <v>44696</v>
      </c>
      <c r="K337" t="s">
        <v>508</v>
      </c>
    </row>
    <row r="338" spans="1:11">
      <c r="A338">
        <v>337</v>
      </c>
      <c r="B338">
        <v>166552529</v>
      </c>
      <c r="C338" t="s">
        <v>678</v>
      </c>
      <c r="D338" t="s">
        <v>678</v>
      </c>
      <c r="E338" s="8" t="s">
        <v>29</v>
      </c>
      <c r="F338" t="s">
        <v>272</v>
      </c>
      <c r="G338" t="s">
        <v>493</v>
      </c>
      <c r="H338" t="s">
        <v>1070</v>
      </c>
      <c r="I338" s="2">
        <v>44012</v>
      </c>
      <c r="J338" s="2">
        <v>44698</v>
      </c>
      <c r="K338" t="s">
        <v>508</v>
      </c>
    </row>
    <row r="339" spans="1:11">
      <c r="A339">
        <v>338</v>
      </c>
      <c r="B339">
        <v>166549139</v>
      </c>
      <c r="C339" t="s">
        <v>405</v>
      </c>
      <c r="D339" t="s">
        <v>1068</v>
      </c>
      <c r="E339" s="8" t="s">
        <v>36</v>
      </c>
      <c r="F339" t="s">
        <v>1108</v>
      </c>
      <c r="I339" s="2">
        <v>44013</v>
      </c>
      <c r="J339" s="2">
        <v>44713</v>
      </c>
      <c r="K339" t="s">
        <v>508</v>
      </c>
    </row>
    <row r="340" spans="1:11">
      <c r="A340">
        <v>339</v>
      </c>
      <c r="B340">
        <v>166552535</v>
      </c>
      <c r="C340" t="s">
        <v>296</v>
      </c>
      <c r="D340" t="s">
        <v>363</v>
      </c>
      <c r="E340" s="8" t="s">
        <v>29</v>
      </c>
      <c r="F340" t="s">
        <v>272</v>
      </c>
      <c r="G340" t="s">
        <v>493</v>
      </c>
      <c r="H340" t="s">
        <v>1070</v>
      </c>
      <c r="I340" s="2">
        <v>44013</v>
      </c>
      <c r="J340" s="2">
        <v>44699</v>
      </c>
      <c r="K340" t="s">
        <v>508</v>
      </c>
    </row>
    <row r="341" spans="1:11">
      <c r="A341">
        <v>340</v>
      </c>
      <c r="B341">
        <v>166557643</v>
      </c>
      <c r="C341" t="s">
        <v>91</v>
      </c>
      <c r="D341" t="s">
        <v>1068</v>
      </c>
      <c r="E341" s="8" t="s">
        <v>91</v>
      </c>
      <c r="F341" t="s">
        <v>1108</v>
      </c>
      <c r="G341" t="s">
        <v>505</v>
      </c>
      <c r="H341" t="s">
        <v>1070</v>
      </c>
      <c r="I341" s="2">
        <v>44013</v>
      </c>
      <c r="J341" s="2">
        <v>44644</v>
      </c>
      <c r="K341" t="s">
        <v>508</v>
      </c>
    </row>
    <row r="342" spans="1:11">
      <c r="A342">
        <v>341</v>
      </c>
      <c r="B342">
        <v>166606247</v>
      </c>
      <c r="C342" t="s">
        <v>678</v>
      </c>
      <c r="D342" t="s">
        <v>678</v>
      </c>
      <c r="E342" s="8" t="s">
        <v>36</v>
      </c>
      <c r="F342" t="s">
        <v>1108</v>
      </c>
      <c r="G342" t="s">
        <v>779</v>
      </c>
      <c r="H342" t="s">
        <v>1070</v>
      </c>
      <c r="I342" s="2">
        <v>44013</v>
      </c>
      <c r="J342" s="2">
        <v>44716</v>
      </c>
      <c r="K342" t="s">
        <v>509</v>
      </c>
    </row>
    <row r="343" spans="1:11">
      <c r="A343">
        <v>342</v>
      </c>
      <c r="B343">
        <v>166841281</v>
      </c>
      <c r="C343" t="s">
        <v>924</v>
      </c>
      <c r="D343" t="s">
        <v>1068</v>
      </c>
      <c r="E343" s="8" t="s">
        <v>20</v>
      </c>
      <c r="F343" t="s">
        <v>1108</v>
      </c>
      <c r="G343" t="s">
        <v>505</v>
      </c>
      <c r="H343" t="s">
        <v>1070</v>
      </c>
      <c r="I343" s="2">
        <v>44013</v>
      </c>
      <c r="J343" s="2">
        <v>44633</v>
      </c>
      <c r="K343" t="s">
        <v>508</v>
      </c>
    </row>
    <row r="344" spans="1:11">
      <c r="A344">
        <v>343</v>
      </c>
      <c r="B344">
        <v>166841293</v>
      </c>
      <c r="C344" t="s">
        <v>678</v>
      </c>
      <c r="D344" t="s">
        <v>678</v>
      </c>
      <c r="E344" s="8" t="s">
        <v>33</v>
      </c>
      <c r="F344" t="s">
        <v>275</v>
      </c>
      <c r="G344" t="s">
        <v>493</v>
      </c>
      <c r="H344" t="s">
        <v>1070</v>
      </c>
      <c r="I344" s="2">
        <v>44013</v>
      </c>
      <c r="J344" s="2">
        <v>44710</v>
      </c>
      <c r="K344" t="s">
        <v>508</v>
      </c>
    </row>
    <row r="345" spans="1:11">
      <c r="A345">
        <v>344</v>
      </c>
      <c r="B345">
        <v>166554237</v>
      </c>
      <c r="C345" t="s">
        <v>320</v>
      </c>
      <c r="D345" t="s">
        <v>320</v>
      </c>
      <c r="E345" s="8" t="s">
        <v>29</v>
      </c>
      <c r="F345" t="s">
        <v>272</v>
      </c>
      <c r="G345" t="s">
        <v>493</v>
      </c>
      <c r="H345" t="s">
        <v>1070</v>
      </c>
      <c r="I345" s="2">
        <v>44014</v>
      </c>
      <c r="J345" s="2">
        <v>44700</v>
      </c>
      <c r="K345" t="s">
        <v>508</v>
      </c>
    </row>
    <row r="346" spans="1:11">
      <c r="A346">
        <v>345</v>
      </c>
      <c r="B346">
        <v>168098777</v>
      </c>
      <c r="C346" t="s">
        <v>914</v>
      </c>
      <c r="D346" t="s">
        <v>1042</v>
      </c>
      <c r="E346" s="8" t="s">
        <v>32</v>
      </c>
      <c r="F346" t="s">
        <v>272</v>
      </c>
      <c r="G346" t="s">
        <v>493</v>
      </c>
      <c r="H346" t="s">
        <v>1070</v>
      </c>
      <c r="I346" s="2">
        <v>44016</v>
      </c>
      <c r="J346" s="2">
        <v>44702</v>
      </c>
      <c r="K346" t="s">
        <v>508</v>
      </c>
    </row>
    <row r="347" spans="1:11">
      <c r="A347">
        <v>346</v>
      </c>
      <c r="B347">
        <v>166841273</v>
      </c>
      <c r="C347" t="s">
        <v>357</v>
      </c>
      <c r="D347" t="s">
        <v>357</v>
      </c>
      <c r="E347" s="8" t="s">
        <v>32</v>
      </c>
      <c r="F347" t="s">
        <v>272</v>
      </c>
      <c r="G347" t="s">
        <v>493</v>
      </c>
      <c r="H347" t="s">
        <v>1070</v>
      </c>
      <c r="I347" s="2">
        <v>44017</v>
      </c>
      <c r="J347" s="2">
        <v>44703</v>
      </c>
      <c r="K347" t="s">
        <v>508</v>
      </c>
    </row>
    <row r="348" spans="1:11">
      <c r="A348">
        <v>347</v>
      </c>
      <c r="B348">
        <v>166841279</v>
      </c>
      <c r="C348" t="s">
        <v>1027</v>
      </c>
      <c r="D348" t="s">
        <v>363</v>
      </c>
      <c r="E348" s="8" t="s">
        <v>32</v>
      </c>
      <c r="F348" t="s">
        <v>272</v>
      </c>
      <c r="G348" t="s">
        <v>493</v>
      </c>
      <c r="H348" t="s">
        <v>1070</v>
      </c>
      <c r="I348" s="2">
        <v>44018</v>
      </c>
      <c r="J348" s="2">
        <v>44704</v>
      </c>
      <c r="K348" t="s">
        <v>508</v>
      </c>
    </row>
    <row r="349" spans="1:11">
      <c r="A349">
        <v>348</v>
      </c>
      <c r="B349">
        <v>166841269</v>
      </c>
      <c r="C349" t="s">
        <v>357</v>
      </c>
      <c r="D349" t="s">
        <v>357</v>
      </c>
      <c r="E349" s="8" t="s">
        <v>32</v>
      </c>
      <c r="F349" t="s">
        <v>272</v>
      </c>
      <c r="G349" t="s">
        <v>493</v>
      </c>
      <c r="H349" t="s">
        <v>1070</v>
      </c>
      <c r="I349" s="2">
        <v>44019</v>
      </c>
      <c r="J349" s="2">
        <v>44705</v>
      </c>
      <c r="K349" t="s">
        <v>508</v>
      </c>
    </row>
    <row r="350" spans="1:11">
      <c r="A350">
        <v>349</v>
      </c>
      <c r="B350">
        <v>166841289</v>
      </c>
      <c r="C350" t="s">
        <v>357</v>
      </c>
      <c r="D350" t="s">
        <v>357</v>
      </c>
      <c r="E350" s="8" t="s">
        <v>32</v>
      </c>
      <c r="F350" t="s">
        <v>272</v>
      </c>
      <c r="G350" t="s">
        <v>493</v>
      </c>
      <c r="H350" t="s">
        <v>1070</v>
      </c>
      <c r="I350" s="2">
        <v>44021</v>
      </c>
      <c r="J350" s="2">
        <v>44707</v>
      </c>
      <c r="K350" t="s">
        <v>508</v>
      </c>
    </row>
    <row r="351" spans="1:11">
      <c r="A351">
        <v>350</v>
      </c>
      <c r="B351">
        <v>166841287</v>
      </c>
      <c r="C351" t="s">
        <v>915</v>
      </c>
      <c r="D351" t="s">
        <v>1042</v>
      </c>
      <c r="E351" s="8" t="s">
        <v>32</v>
      </c>
      <c r="F351" t="s">
        <v>272</v>
      </c>
      <c r="G351" t="s">
        <v>493</v>
      </c>
      <c r="H351" t="s">
        <v>1070</v>
      </c>
      <c r="I351" s="2">
        <v>44022</v>
      </c>
      <c r="J351" s="2">
        <v>44708</v>
      </c>
      <c r="K351" t="s">
        <v>508</v>
      </c>
    </row>
    <row r="352" spans="1:11">
      <c r="A352">
        <v>351</v>
      </c>
      <c r="B352">
        <v>166841285</v>
      </c>
      <c r="C352" t="s">
        <v>678</v>
      </c>
      <c r="D352" t="s">
        <v>678</v>
      </c>
      <c r="E352" s="8" t="s">
        <v>33</v>
      </c>
      <c r="F352" t="s">
        <v>275</v>
      </c>
      <c r="G352" t="s">
        <v>493</v>
      </c>
      <c r="H352" t="s">
        <v>1070</v>
      </c>
      <c r="I352" s="2">
        <v>44023</v>
      </c>
      <c r="J352" s="2">
        <v>44709</v>
      </c>
      <c r="K352" t="s">
        <v>508</v>
      </c>
    </row>
    <row r="353" spans="1:11">
      <c r="A353">
        <v>352</v>
      </c>
      <c r="B353">
        <v>166841291</v>
      </c>
      <c r="C353" t="s">
        <v>678</v>
      </c>
      <c r="D353" t="s">
        <v>678</v>
      </c>
      <c r="E353" s="8" t="s">
        <v>763</v>
      </c>
      <c r="F353" t="s">
        <v>274</v>
      </c>
      <c r="G353" t="s">
        <v>493</v>
      </c>
      <c r="H353" t="s">
        <v>1070</v>
      </c>
      <c r="I353" s="2">
        <v>44025</v>
      </c>
      <c r="J353" s="2">
        <v>44711</v>
      </c>
      <c r="K353" t="s">
        <v>508</v>
      </c>
    </row>
    <row r="354" spans="1:11">
      <c r="A354">
        <v>353</v>
      </c>
      <c r="B354">
        <v>166841297</v>
      </c>
      <c r="C354" t="s">
        <v>678</v>
      </c>
      <c r="D354" t="s">
        <v>678</v>
      </c>
      <c r="E354" s="8" t="s">
        <v>35</v>
      </c>
      <c r="F354" t="s">
        <v>1108</v>
      </c>
      <c r="G354" t="s">
        <v>779</v>
      </c>
      <c r="H354" t="s">
        <v>1070</v>
      </c>
      <c r="I354" s="2">
        <v>44026</v>
      </c>
      <c r="J354" s="2">
        <v>44712</v>
      </c>
      <c r="K354" t="s">
        <v>508</v>
      </c>
    </row>
    <row r="355" spans="1:11">
      <c r="A355">
        <v>354</v>
      </c>
      <c r="B355">
        <v>165377590</v>
      </c>
      <c r="C355" t="s">
        <v>678</v>
      </c>
      <c r="D355" t="s">
        <v>678</v>
      </c>
      <c r="E355" s="8" t="s">
        <v>36</v>
      </c>
      <c r="F355" t="s">
        <v>1108</v>
      </c>
      <c r="G355" t="s">
        <v>779</v>
      </c>
      <c r="H355" t="s">
        <v>1070</v>
      </c>
      <c r="I355" s="2">
        <v>44028</v>
      </c>
      <c r="J355" s="2">
        <v>44714</v>
      </c>
      <c r="K355" t="s">
        <v>508</v>
      </c>
    </row>
    <row r="356" spans="1:11">
      <c r="A356">
        <v>355</v>
      </c>
      <c r="B356">
        <v>165377598</v>
      </c>
      <c r="C356" t="s">
        <v>678</v>
      </c>
      <c r="D356" t="s">
        <v>678</v>
      </c>
      <c r="E356" s="8" t="s">
        <v>36</v>
      </c>
      <c r="F356" t="s">
        <v>1108</v>
      </c>
      <c r="G356" t="s">
        <v>779</v>
      </c>
      <c r="H356" t="s">
        <v>1070</v>
      </c>
      <c r="I356" s="2">
        <v>44029</v>
      </c>
      <c r="J356" s="2">
        <v>44715</v>
      </c>
      <c r="K356" t="s">
        <v>509</v>
      </c>
    </row>
    <row r="357" spans="1:11">
      <c r="A357">
        <v>356</v>
      </c>
      <c r="B357">
        <v>171000808</v>
      </c>
      <c r="D357" t="s">
        <v>1108</v>
      </c>
      <c r="E357" s="8" t="s">
        <v>124</v>
      </c>
      <c r="F357" t="s">
        <v>272</v>
      </c>
      <c r="G357" t="s">
        <v>779</v>
      </c>
      <c r="H357" t="s">
        <v>1070</v>
      </c>
      <c r="I357" s="2">
        <v>44819.695069988396</v>
      </c>
      <c r="J357" s="2">
        <v>44911</v>
      </c>
      <c r="K357" t="s">
        <v>511</v>
      </c>
    </row>
    <row r="358" spans="1:11">
      <c r="A358">
        <v>357</v>
      </c>
      <c r="B358">
        <v>157993474</v>
      </c>
      <c r="C358" t="s">
        <v>306</v>
      </c>
      <c r="D358" t="s">
        <v>306</v>
      </c>
      <c r="E358" s="8" t="s">
        <v>57</v>
      </c>
      <c r="F358" t="s">
        <v>276</v>
      </c>
      <c r="G358" t="s">
        <v>779</v>
      </c>
      <c r="H358" t="s">
        <v>1070</v>
      </c>
      <c r="I358" s="2">
        <v>44825.603186076398</v>
      </c>
      <c r="J358" s="2">
        <v>44895</v>
      </c>
      <c r="K358" t="s">
        <v>510</v>
      </c>
    </row>
    <row r="359" spans="1:11">
      <c r="A359">
        <v>358</v>
      </c>
      <c r="B359">
        <v>166551737</v>
      </c>
      <c r="C359" t="s">
        <v>1001</v>
      </c>
      <c r="D359" t="s">
        <v>1042</v>
      </c>
      <c r="E359" s="8" t="s">
        <v>431</v>
      </c>
      <c r="F359" t="s">
        <v>272</v>
      </c>
      <c r="G359" t="s">
        <v>491</v>
      </c>
      <c r="H359" t="s">
        <v>1071</v>
      </c>
      <c r="I359" s="2">
        <v>44833.430648611102</v>
      </c>
      <c r="J359" s="2">
        <v>44982</v>
      </c>
      <c r="K359" t="s">
        <v>514</v>
      </c>
    </row>
    <row r="360" spans="1:11">
      <c r="A360">
        <v>359</v>
      </c>
      <c r="B360">
        <v>168100952</v>
      </c>
      <c r="C360" t="s">
        <v>942</v>
      </c>
      <c r="D360" t="s">
        <v>1068</v>
      </c>
      <c r="E360" s="8" t="s">
        <v>789</v>
      </c>
      <c r="F360" t="s">
        <v>272</v>
      </c>
      <c r="G360" t="s">
        <v>779</v>
      </c>
      <c r="H360" t="s">
        <v>1070</v>
      </c>
      <c r="I360" s="2">
        <v>44834.651636770803</v>
      </c>
      <c r="J360" s="2">
        <v>44934</v>
      </c>
      <c r="K360" t="s">
        <v>511</v>
      </c>
    </row>
    <row r="361" spans="1:11">
      <c r="A361">
        <v>360</v>
      </c>
      <c r="B361">
        <v>169596442</v>
      </c>
      <c r="C361" t="s">
        <v>678</v>
      </c>
      <c r="D361" t="s">
        <v>678</v>
      </c>
      <c r="E361" s="8" t="s">
        <v>150</v>
      </c>
      <c r="F361" t="s">
        <v>1108</v>
      </c>
      <c r="G361" t="s">
        <v>779</v>
      </c>
      <c r="H361" t="s">
        <v>1070</v>
      </c>
      <c r="I361" s="2">
        <v>44837.789664039403</v>
      </c>
      <c r="J361" s="2">
        <v>44975</v>
      </c>
      <c r="K361" t="s">
        <v>511</v>
      </c>
    </row>
    <row r="362" spans="1:11">
      <c r="A362">
        <v>361</v>
      </c>
      <c r="B362">
        <v>169596427</v>
      </c>
      <c r="C362" t="s">
        <v>359</v>
      </c>
      <c r="D362" t="s">
        <v>1068</v>
      </c>
      <c r="E362" s="8" t="s">
        <v>151</v>
      </c>
      <c r="F362" t="s">
        <v>1108</v>
      </c>
      <c r="G362" t="s">
        <v>779</v>
      </c>
      <c r="H362" t="s">
        <v>1070</v>
      </c>
      <c r="I362" s="2">
        <v>44838.747079745401</v>
      </c>
      <c r="J362" s="2">
        <v>44976</v>
      </c>
      <c r="K362" t="s">
        <v>511</v>
      </c>
    </row>
    <row r="363" spans="1:11">
      <c r="A363">
        <v>362</v>
      </c>
      <c r="B363">
        <v>169597480</v>
      </c>
      <c r="C363" t="s">
        <v>678</v>
      </c>
      <c r="D363" t="s">
        <v>678</v>
      </c>
      <c r="E363" s="8" t="s">
        <v>121</v>
      </c>
      <c r="F363" t="s">
        <v>1108</v>
      </c>
      <c r="G363" t="s">
        <v>779</v>
      </c>
      <c r="H363" t="s">
        <v>1070</v>
      </c>
      <c r="I363" s="2">
        <v>44839.543847187502</v>
      </c>
      <c r="J363" s="2">
        <v>44902</v>
      </c>
      <c r="K363" t="s">
        <v>511</v>
      </c>
    </row>
    <row r="364" spans="1:11">
      <c r="A364">
        <v>363</v>
      </c>
      <c r="B364">
        <v>169596445</v>
      </c>
      <c r="C364" t="s">
        <v>357</v>
      </c>
      <c r="D364" t="s">
        <v>357</v>
      </c>
      <c r="E364" s="8" t="s">
        <v>151</v>
      </c>
      <c r="F364" t="s">
        <v>1108</v>
      </c>
      <c r="G364" t="s">
        <v>779</v>
      </c>
      <c r="H364" t="s">
        <v>1070</v>
      </c>
      <c r="I364" s="2">
        <v>44839.6376495023</v>
      </c>
      <c r="J364" s="2">
        <v>44977</v>
      </c>
      <c r="K364" t="s">
        <v>511</v>
      </c>
    </row>
    <row r="365" spans="1:11">
      <c r="A365">
        <v>364</v>
      </c>
      <c r="B365">
        <v>166551685</v>
      </c>
      <c r="C365" t="s">
        <v>918</v>
      </c>
      <c r="D365" t="s">
        <v>1042</v>
      </c>
      <c r="E365" s="8" t="s">
        <v>424</v>
      </c>
      <c r="F365" t="s">
        <v>272</v>
      </c>
      <c r="G365" t="s">
        <v>491</v>
      </c>
      <c r="H365" t="s">
        <v>1071</v>
      </c>
      <c r="I365" s="2">
        <v>44839.862419872698</v>
      </c>
      <c r="J365" s="2">
        <v>44945</v>
      </c>
      <c r="K365" t="s">
        <v>512</v>
      </c>
    </row>
    <row r="366" spans="1:11">
      <c r="A366">
        <v>365</v>
      </c>
      <c r="B366">
        <v>166549257</v>
      </c>
      <c r="C366" t="s">
        <v>332</v>
      </c>
      <c r="D366" t="s">
        <v>1068</v>
      </c>
      <c r="E366" s="8" t="s">
        <v>463</v>
      </c>
      <c r="F366" t="s">
        <v>1108</v>
      </c>
      <c r="G366" t="s">
        <v>491</v>
      </c>
      <c r="H366" t="s">
        <v>1071</v>
      </c>
      <c r="I366" s="2">
        <v>44840.652477812502</v>
      </c>
      <c r="J366" s="2">
        <v>45007</v>
      </c>
      <c r="K366" t="s">
        <v>514</v>
      </c>
    </row>
    <row r="367" spans="1:11">
      <c r="A367">
        <v>366</v>
      </c>
      <c r="B367">
        <v>166549259</v>
      </c>
      <c r="C367" t="s">
        <v>356</v>
      </c>
      <c r="D367" t="s">
        <v>1068</v>
      </c>
      <c r="E367" s="8" t="s">
        <v>462</v>
      </c>
      <c r="F367" t="s">
        <v>273</v>
      </c>
      <c r="G367" t="s">
        <v>491</v>
      </c>
      <c r="H367" t="s">
        <v>1071</v>
      </c>
      <c r="I367" s="2">
        <v>44840.666612118097</v>
      </c>
      <c r="J367" s="2">
        <v>45006</v>
      </c>
      <c r="K367" t="s">
        <v>514</v>
      </c>
    </row>
    <row r="368" spans="1:11">
      <c r="A368">
        <v>367</v>
      </c>
      <c r="B368">
        <v>166551695</v>
      </c>
      <c r="C368" t="s">
        <v>357</v>
      </c>
      <c r="D368" t="s">
        <v>357</v>
      </c>
      <c r="E368" s="8" t="s">
        <v>424</v>
      </c>
      <c r="F368" t="s">
        <v>272</v>
      </c>
      <c r="G368" t="s">
        <v>491</v>
      </c>
      <c r="H368" t="s">
        <v>1071</v>
      </c>
      <c r="I368" s="2">
        <v>44841.546671759301</v>
      </c>
      <c r="J368" s="2">
        <v>44946</v>
      </c>
      <c r="K368" t="s">
        <v>512</v>
      </c>
    </row>
    <row r="369" spans="1:11">
      <c r="A369">
        <v>368</v>
      </c>
      <c r="B369">
        <v>166843903</v>
      </c>
      <c r="C369" t="s">
        <v>678</v>
      </c>
      <c r="D369" t="s">
        <v>678</v>
      </c>
      <c r="E369" s="8" t="s">
        <v>736</v>
      </c>
      <c r="F369" t="s">
        <v>272</v>
      </c>
      <c r="G369" t="s">
        <v>491</v>
      </c>
      <c r="H369" t="s">
        <v>1071</v>
      </c>
      <c r="I369" s="2">
        <v>44843.100279398102</v>
      </c>
      <c r="J369" s="2">
        <v>44958</v>
      </c>
      <c r="K369" t="s">
        <v>513</v>
      </c>
    </row>
    <row r="370" spans="1:11">
      <c r="A370">
        <v>369</v>
      </c>
      <c r="B370">
        <v>166842805</v>
      </c>
      <c r="C370" t="s">
        <v>304</v>
      </c>
      <c r="D370" t="s">
        <v>1042</v>
      </c>
      <c r="E370" s="8" t="s">
        <v>49</v>
      </c>
      <c r="F370" t="s">
        <v>274</v>
      </c>
      <c r="G370" t="s">
        <v>779</v>
      </c>
      <c r="H370" t="s">
        <v>1070</v>
      </c>
      <c r="I370" s="2">
        <v>44844.480402511603</v>
      </c>
      <c r="J370" s="2">
        <v>44895</v>
      </c>
      <c r="K370" t="s">
        <v>510</v>
      </c>
    </row>
    <row r="371" spans="1:11">
      <c r="A371">
        <v>370</v>
      </c>
      <c r="B371">
        <v>169597006</v>
      </c>
      <c r="C371" t="s">
        <v>347</v>
      </c>
      <c r="D371" t="s">
        <v>1042</v>
      </c>
      <c r="E371" s="8" t="s">
        <v>789</v>
      </c>
      <c r="F371" t="s">
        <v>272</v>
      </c>
      <c r="G371" t="s">
        <v>779</v>
      </c>
      <c r="H371" t="s">
        <v>1070</v>
      </c>
      <c r="I371" s="2">
        <v>44844.484536493102</v>
      </c>
      <c r="J371" s="2">
        <v>44935</v>
      </c>
      <c r="K371" t="s">
        <v>511</v>
      </c>
    </row>
    <row r="372" spans="1:11">
      <c r="A372">
        <v>371</v>
      </c>
      <c r="B372">
        <v>169596469</v>
      </c>
      <c r="C372" t="s">
        <v>1002</v>
      </c>
      <c r="D372" t="s">
        <v>1042</v>
      </c>
      <c r="E372" s="8" t="s">
        <v>142</v>
      </c>
      <c r="F372" t="s">
        <v>272</v>
      </c>
      <c r="G372" t="s">
        <v>779</v>
      </c>
      <c r="H372" t="s">
        <v>1070</v>
      </c>
      <c r="I372" s="2">
        <v>44844.585953090304</v>
      </c>
      <c r="J372" s="2">
        <v>44954</v>
      </c>
      <c r="K372" t="s">
        <v>511</v>
      </c>
    </row>
    <row r="373" spans="1:11">
      <c r="A373">
        <v>372</v>
      </c>
      <c r="B373">
        <v>157993746</v>
      </c>
      <c r="C373" t="s">
        <v>348</v>
      </c>
      <c r="D373" t="s">
        <v>1042</v>
      </c>
      <c r="E373" s="8" t="s">
        <v>789</v>
      </c>
      <c r="F373" t="s">
        <v>272</v>
      </c>
      <c r="G373" t="s">
        <v>779</v>
      </c>
      <c r="H373" t="s">
        <v>1070</v>
      </c>
      <c r="I373" s="2">
        <v>44844.621091782399</v>
      </c>
      <c r="J373" s="2">
        <v>44938</v>
      </c>
      <c r="K373" t="s">
        <v>511</v>
      </c>
    </row>
    <row r="374" spans="1:11">
      <c r="A374">
        <v>373</v>
      </c>
      <c r="B374">
        <v>166841749</v>
      </c>
      <c r="C374" t="s">
        <v>346</v>
      </c>
      <c r="D374" t="s">
        <v>346</v>
      </c>
      <c r="E374" s="8" t="s">
        <v>466</v>
      </c>
      <c r="F374" t="s">
        <v>274</v>
      </c>
      <c r="G374" t="s">
        <v>491</v>
      </c>
      <c r="H374" t="s">
        <v>1071</v>
      </c>
      <c r="I374" s="2">
        <v>44844.954266284702</v>
      </c>
      <c r="J374" s="2">
        <v>45002</v>
      </c>
      <c r="K374" t="s">
        <v>514</v>
      </c>
    </row>
    <row r="375" spans="1:11">
      <c r="A375">
        <v>374</v>
      </c>
      <c r="B375">
        <v>166842337</v>
      </c>
      <c r="C375" t="s">
        <v>1003</v>
      </c>
      <c r="D375" t="s">
        <v>1042</v>
      </c>
      <c r="E375" s="8" t="s">
        <v>182</v>
      </c>
      <c r="F375" t="s">
        <v>274</v>
      </c>
      <c r="G375" t="s">
        <v>779</v>
      </c>
      <c r="H375" t="s">
        <v>1070</v>
      </c>
      <c r="I375" s="2">
        <v>44845.678335844903</v>
      </c>
      <c r="J375" s="2">
        <v>44967</v>
      </c>
      <c r="K375" t="s">
        <v>512</v>
      </c>
    </row>
    <row r="376" spans="1:11">
      <c r="A376">
        <v>375</v>
      </c>
      <c r="B376">
        <v>166842323</v>
      </c>
      <c r="C376" t="s">
        <v>357</v>
      </c>
      <c r="D376" t="s">
        <v>357</v>
      </c>
      <c r="E376" s="8" t="s">
        <v>181</v>
      </c>
      <c r="F376" t="s">
        <v>272</v>
      </c>
      <c r="G376" t="s">
        <v>779</v>
      </c>
      <c r="H376" t="s">
        <v>1070</v>
      </c>
      <c r="I376" s="2">
        <v>44845.706003472202</v>
      </c>
      <c r="J376" s="2">
        <v>44966</v>
      </c>
      <c r="K376" t="s">
        <v>512</v>
      </c>
    </row>
    <row r="377" spans="1:11">
      <c r="A377">
        <v>376</v>
      </c>
      <c r="B377">
        <v>171354543</v>
      </c>
      <c r="C377" t="s">
        <v>320</v>
      </c>
      <c r="D377" t="s">
        <v>320</v>
      </c>
      <c r="E377" s="8" t="s">
        <v>182</v>
      </c>
      <c r="F377" t="s">
        <v>274</v>
      </c>
      <c r="G377" t="s">
        <v>504</v>
      </c>
      <c r="H377" t="s">
        <v>1070</v>
      </c>
      <c r="I377" s="2">
        <v>44845.738379976901</v>
      </c>
      <c r="J377" s="2">
        <v>44968</v>
      </c>
      <c r="K377" t="s">
        <v>512</v>
      </c>
    </row>
    <row r="378" spans="1:11">
      <c r="A378">
        <v>377</v>
      </c>
      <c r="B378">
        <v>145297834</v>
      </c>
      <c r="C378" t="s">
        <v>370</v>
      </c>
      <c r="D378" t="s">
        <v>1042</v>
      </c>
      <c r="E378" s="8" t="s">
        <v>737</v>
      </c>
      <c r="F378" t="s">
        <v>272</v>
      </c>
      <c r="G378" t="s">
        <v>504</v>
      </c>
      <c r="H378" t="s">
        <v>1070</v>
      </c>
      <c r="I378" s="2">
        <v>44845.767313854201</v>
      </c>
      <c r="J378" s="2">
        <v>44895</v>
      </c>
      <c r="K378" t="s">
        <v>512</v>
      </c>
    </row>
    <row r="379" spans="1:11">
      <c r="A379">
        <v>378</v>
      </c>
      <c r="B379">
        <v>168100976</v>
      </c>
      <c r="D379" t="s">
        <v>1108</v>
      </c>
      <c r="E379" s="8" t="s">
        <v>124</v>
      </c>
      <c r="F379" t="s">
        <v>272</v>
      </c>
      <c r="G379" t="s">
        <v>779</v>
      </c>
      <c r="H379" t="s">
        <v>1070</v>
      </c>
      <c r="I379" s="2">
        <v>44846.666211226897</v>
      </c>
      <c r="J379" s="2">
        <v>44907</v>
      </c>
      <c r="K379" t="s">
        <v>511</v>
      </c>
    </row>
    <row r="380" spans="1:11">
      <c r="A380">
        <v>379</v>
      </c>
      <c r="B380">
        <v>168100988</v>
      </c>
      <c r="C380" t="s">
        <v>342</v>
      </c>
      <c r="D380" t="s">
        <v>1068</v>
      </c>
      <c r="E380" s="8" t="s">
        <v>124</v>
      </c>
      <c r="F380" t="s">
        <v>272</v>
      </c>
      <c r="G380" t="s">
        <v>779</v>
      </c>
      <c r="H380" t="s">
        <v>1070</v>
      </c>
      <c r="I380" s="2">
        <v>44846.666211226897</v>
      </c>
      <c r="J380" s="2">
        <v>44906</v>
      </c>
      <c r="K380" t="s">
        <v>511</v>
      </c>
    </row>
    <row r="381" spans="1:11">
      <c r="A381">
        <v>380</v>
      </c>
      <c r="B381">
        <v>166553365</v>
      </c>
      <c r="C381" t="s">
        <v>320</v>
      </c>
      <c r="D381" t="s">
        <v>320</v>
      </c>
      <c r="E381" s="8" t="s">
        <v>93</v>
      </c>
      <c r="F381" t="s">
        <v>1108</v>
      </c>
      <c r="G381" t="s">
        <v>779</v>
      </c>
      <c r="H381" t="s">
        <v>1070</v>
      </c>
      <c r="I381" s="2">
        <v>44846.772193286997</v>
      </c>
      <c r="J381" s="2">
        <v>44847</v>
      </c>
      <c r="K381" t="s">
        <v>511</v>
      </c>
    </row>
    <row r="382" spans="1:11">
      <c r="A382">
        <v>381</v>
      </c>
      <c r="B382">
        <v>166843615</v>
      </c>
      <c r="C382" t="s">
        <v>357</v>
      </c>
      <c r="D382" t="s">
        <v>357</v>
      </c>
      <c r="E382" s="8" t="s">
        <v>424</v>
      </c>
      <c r="F382" t="s">
        <v>272</v>
      </c>
      <c r="G382" t="s">
        <v>491</v>
      </c>
      <c r="H382" t="s">
        <v>1071</v>
      </c>
      <c r="I382" s="2">
        <v>44847.5722562847</v>
      </c>
      <c r="J382" s="2">
        <v>44950</v>
      </c>
      <c r="K382" t="s">
        <v>512</v>
      </c>
    </row>
    <row r="383" spans="1:11">
      <c r="A383">
        <v>382</v>
      </c>
      <c r="B383">
        <v>166841747</v>
      </c>
      <c r="C383" t="s">
        <v>320</v>
      </c>
      <c r="D383" t="s">
        <v>320</v>
      </c>
      <c r="E383" s="8" t="s">
        <v>464</v>
      </c>
      <c r="F383" t="s">
        <v>272</v>
      </c>
      <c r="G383" t="s">
        <v>491</v>
      </c>
      <c r="H383" t="s">
        <v>1071</v>
      </c>
      <c r="I383" s="2">
        <v>44847.7516032407</v>
      </c>
      <c r="J383" s="2">
        <v>45009</v>
      </c>
      <c r="K383" t="s">
        <v>514</v>
      </c>
    </row>
    <row r="384" spans="1:11">
      <c r="A384">
        <v>383</v>
      </c>
      <c r="B384">
        <v>168100961</v>
      </c>
      <c r="C384" t="s">
        <v>320</v>
      </c>
      <c r="D384" t="s">
        <v>320</v>
      </c>
      <c r="E384" s="8" t="s">
        <v>5</v>
      </c>
      <c r="F384" t="s">
        <v>272</v>
      </c>
      <c r="G384" t="s">
        <v>779</v>
      </c>
      <c r="H384" t="s">
        <v>1070</v>
      </c>
      <c r="I384" s="2">
        <v>44847.858601655098</v>
      </c>
      <c r="J384" s="2">
        <v>44949</v>
      </c>
      <c r="K384" t="s">
        <v>511</v>
      </c>
    </row>
    <row r="385" spans="1:11">
      <c r="A385">
        <v>384</v>
      </c>
      <c r="B385">
        <v>169597009</v>
      </c>
      <c r="C385" t="s">
        <v>306</v>
      </c>
      <c r="D385" t="s">
        <v>306</v>
      </c>
      <c r="E385" s="8" t="s">
        <v>157</v>
      </c>
      <c r="F385" t="s">
        <v>272</v>
      </c>
      <c r="G385" t="s">
        <v>779</v>
      </c>
      <c r="H385" t="s">
        <v>1070</v>
      </c>
      <c r="I385" s="2">
        <v>44847.978320601796</v>
      </c>
      <c r="J385" s="2">
        <v>44984</v>
      </c>
      <c r="K385" t="s">
        <v>511</v>
      </c>
    </row>
    <row r="386" spans="1:11">
      <c r="A386">
        <v>385</v>
      </c>
      <c r="B386">
        <v>166843607</v>
      </c>
      <c r="C386" t="s">
        <v>949</v>
      </c>
      <c r="D386" t="s">
        <v>1068</v>
      </c>
      <c r="E386" s="8" t="s">
        <v>424</v>
      </c>
      <c r="F386" t="s">
        <v>272</v>
      </c>
      <c r="G386" t="s">
        <v>491</v>
      </c>
      <c r="H386" t="s">
        <v>1071</v>
      </c>
      <c r="I386" s="2">
        <v>44848.653884687497</v>
      </c>
      <c r="J386" s="2">
        <v>44952</v>
      </c>
      <c r="K386" t="s">
        <v>512</v>
      </c>
    </row>
    <row r="387" spans="1:11">
      <c r="A387">
        <v>386</v>
      </c>
      <c r="B387">
        <v>166552617</v>
      </c>
      <c r="C387" t="s">
        <v>678</v>
      </c>
      <c r="D387" t="s">
        <v>678</v>
      </c>
      <c r="E387" s="8" t="s">
        <v>92</v>
      </c>
      <c r="F387" t="s">
        <v>274</v>
      </c>
      <c r="G387" t="s">
        <v>779</v>
      </c>
      <c r="H387" t="s">
        <v>1070</v>
      </c>
      <c r="I387" s="2">
        <v>44848.665714120398</v>
      </c>
      <c r="J387" s="2">
        <v>44895</v>
      </c>
      <c r="K387" t="s">
        <v>511</v>
      </c>
    </row>
    <row r="388" spans="1:11">
      <c r="A388">
        <v>387</v>
      </c>
      <c r="B388">
        <v>168101015</v>
      </c>
      <c r="C388" t="s">
        <v>346</v>
      </c>
      <c r="D388" t="s">
        <v>346</v>
      </c>
      <c r="E388" s="8" t="s">
        <v>789</v>
      </c>
      <c r="F388" t="s">
        <v>272</v>
      </c>
      <c r="G388" t="s">
        <v>779</v>
      </c>
      <c r="H388" t="s">
        <v>1070</v>
      </c>
      <c r="I388" s="2">
        <v>44848.706503969901</v>
      </c>
      <c r="J388" s="2">
        <v>44932</v>
      </c>
      <c r="K388" t="s">
        <v>511</v>
      </c>
    </row>
    <row r="389" spans="1:11">
      <c r="A389">
        <v>388</v>
      </c>
      <c r="B389">
        <v>168101051</v>
      </c>
      <c r="C389" t="s">
        <v>320</v>
      </c>
      <c r="D389" t="s">
        <v>320</v>
      </c>
      <c r="E389" s="8" t="s">
        <v>156</v>
      </c>
      <c r="F389" t="s">
        <v>272</v>
      </c>
      <c r="G389" t="s">
        <v>779</v>
      </c>
      <c r="H389" t="s">
        <v>1070</v>
      </c>
      <c r="I389" s="2">
        <v>44848.747304594901</v>
      </c>
      <c r="J389" s="2">
        <v>44983</v>
      </c>
      <c r="K389" t="s">
        <v>511</v>
      </c>
    </row>
    <row r="390" spans="1:11">
      <c r="A390">
        <v>389</v>
      </c>
      <c r="B390">
        <v>168101030</v>
      </c>
      <c r="C390" t="s">
        <v>303</v>
      </c>
      <c r="D390" t="s">
        <v>303</v>
      </c>
      <c r="E390" s="8" t="s">
        <v>789</v>
      </c>
      <c r="F390" t="s">
        <v>272</v>
      </c>
      <c r="G390" t="s">
        <v>779</v>
      </c>
      <c r="H390" t="s">
        <v>1070</v>
      </c>
      <c r="I390" s="2">
        <v>44848.763818402796</v>
      </c>
      <c r="J390" s="2">
        <v>44931</v>
      </c>
      <c r="K390" t="s">
        <v>511</v>
      </c>
    </row>
    <row r="391" spans="1:11">
      <c r="A391">
        <v>390</v>
      </c>
      <c r="B391">
        <v>164928615</v>
      </c>
      <c r="C391" t="s">
        <v>482</v>
      </c>
      <c r="D391" t="s">
        <v>1068</v>
      </c>
      <c r="E391" s="8" t="s">
        <v>129</v>
      </c>
      <c r="F391" t="s">
        <v>272</v>
      </c>
      <c r="G391" t="s">
        <v>779</v>
      </c>
      <c r="H391" t="s">
        <v>1070</v>
      </c>
      <c r="I391" s="2">
        <v>44848.765921099497</v>
      </c>
      <c r="J391" s="2">
        <v>44924</v>
      </c>
      <c r="K391" t="s">
        <v>511</v>
      </c>
    </row>
    <row r="392" spans="1:11">
      <c r="A392">
        <v>391</v>
      </c>
      <c r="B392">
        <v>166551441</v>
      </c>
      <c r="D392" t="s">
        <v>1108</v>
      </c>
      <c r="E392" s="8" t="s">
        <v>130</v>
      </c>
      <c r="F392" t="s">
        <v>1108</v>
      </c>
      <c r="G392" t="s">
        <v>779</v>
      </c>
      <c r="H392" t="s">
        <v>1070</v>
      </c>
      <c r="I392" s="2">
        <v>44848.773384062501</v>
      </c>
      <c r="J392" s="2">
        <v>44926</v>
      </c>
      <c r="K392" t="s">
        <v>511</v>
      </c>
    </row>
    <row r="393" spans="1:11">
      <c r="A393">
        <v>392</v>
      </c>
      <c r="B393">
        <v>166551431</v>
      </c>
      <c r="C393" t="s">
        <v>678</v>
      </c>
      <c r="D393" t="s">
        <v>678</v>
      </c>
      <c r="E393" s="8" t="s">
        <v>129</v>
      </c>
      <c r="F393" t="s">
        <v>272</v>
      </c>
      <c r="G393" t="s">
        <v>779</v>
      </c>
      <c r="H393" t="s">
        <v>1070</v>
      </c>
      <c r="I393" s="2">
        <v>44848.8224603009</v>
      </c>
      <c r="J393" s="2">
        <v>44922</v>
      </c>
      <c r="K393" t="s">
        <v>511</v>
      </c>
    </row>
    <row r="394" spans="1:11">
      <c r="A394">
        <v>393</v>
      </c>
      <c r="B394">
        <v>168101009</v>
      </c>
      <c r="C394" t="s">
        <v>1028</v>
      </c>
      <c r="D394" t="s">
        <v>363</v>
      </c>
      <c r="E394" s="8" t="s">
        <v>140</v>
      </c>
      <c r="F394" t="s">
        <v>1108</v>
      </c>
      <c r="G394" t="s">
        <v>779</v>
      </c>
      <c r="H394" t="s">
        <v>1070</v>
      </c>
      <c r="I394" s="2">
        <v>44848.824444641199</v>
      </c>
      <c r="J394" s="2">
        <v>44948</v>
      </c>
      <c r="K394" t="s">
        <v>511</v>
      </c>
    </row>
    <row r="395" spans="1:11">
      <c r="A395">
        <v>394</v>
      </c>
      <c r="B395">
        <v>166552657</v>
      </c>
      <c r="C395" t="s">
        <v>320</v>
      </c>
      <c r="D395" t="s">
        <v>320</v>
      </c>
      <c r="E395" s="8" t="s">
        <v>93</v>
      </c>
      <c r="F395" t="s">
        <v>1108</v>
      </c>
      <c r="G395" t="s">
        <v>779</v>
      </c>
      <c r="H395" t="s">
        <v>1070</v>
      </c>
      <c r="I395" s="2">
        <v>44848.8618102662</v>
      </c>
      <c r="J395" s="2">
        <v>44895</v>
      </c>
      <c r="K395" t="s">
        <v>511</v>
      </c>
    </row>
    <row r="396" spans="1:11">
      <c r="A396">
        <v>395</v>
      </c>
      <c r="B396">
        <v>166551427</v>
      </c>
      <c r="C396" t="s">
        <v>345</v>
      </c>
      <c r="D396" t="s">
        <v>363</v>
      </c>
      <c r="E396" s="8" t="s">
        <v>129</v>
      </c>
      <c r="F396" t="s">
        <v>272</v>
      </c>
      <c r="G396" t="s">
        <v>779</v>
      </c>
      <c r="H396" t="s">
        <v>1070</v>
      </c>
      <c r="I396" s="2">
        <v>44849.037414386599</v>
      </c>
      <c r="J396" s="2">
        <v>44921</v>
      </c>
      <c r="K396" t="s">
        <v>511</v>
      </c>
    </row>
    <row r="397" spans="1:11">
      <c r="A397">
        <v>396</v>
      </c>
      <c r="B397">
        <v>166842813</v>
      </c>
      <c r="C397" t="s">
        <v>303</v>
      </c>
      <c r="D397" t="s">
        <v>303</v>
      </c>
      <c r="E397" s="8" t="s">
        <v>48</v>
      </c>
      <c r="F397" t="s">
        <v>1108</v>
      </c>
      <c r="G397" t="s">
        <v>779</v>
      </c>
      <c r="H397" t="s">
        <v>1070</v>
      </c>
      <c r="I397" s="2">
        <v>44851.069983993097</v>
      </c>
      <c r="J397" s="2">
        <v>44895</v>
      </c>
      <c r="K397" t="s">
        <v>510</v>
      </c>
    </row>
    <row r="398" spans="1:11">
      <c r="A398">
        <v>397</v>
      </c>
      <c r="B398">
        <v>166842769</v>
      </c>
      <c r="C398" t="s">
        <v>915</v>
      </c>
      <c r="D398" t="s">
        <v>1042</v>
      </c>
      <c r="E398" s="8" t="s">
        <v>48</v>
      </c>
      <c r="F398" t="s">
        <v>1108</v>
      </c>
      <c r="G398" t="s">
        <v>779</v>
      </c>
      <c r="H398" t="s">
        <v>1070</v>
      </c>
      <c r="I398" s="2">
        <v>44851.572676388903</v>
      </c>
      <c r="J398" s="2">
        <v>44895</v>
      </c>
      <c r="K398" t="s">
        <v>510</v>
      </c>
    </row>
    <row r="399" spans="1:11">
      <c r="A399">
        <v>398</v>
      </c>
      <c r="B399">
        <v>166841753</v>
      </c>
      <c r="C399" t="s">
        <v>362</v>
      </c>
      <c r="D399" t="s">
        <v>1042</v>
      </c>
      <c r="E399" s="8" t="s">
        <v>466</v>
      </c>
      <c r="F399" t="s">
        <v>274</v>
      </c>
      <c r="G399" t="s">
        <v>491</v>
      </c>
      <c r="H399" t="s">
        <v>1071</v>
      </c>
      <c r="I399" s="2">
        <v>44851.601689664298</v>
      </c>
      <c r="J399" s="2">
        <v>45003</v>
      </c>
      <c r="K399" t="s">
        <v>514</v>
      </c>
    </row>
    <row r="400" spans="1:11">
      <c r="A400">
        <v>399</v>
      </c>
      <c r="B400">
        <v>166553371</v>
      </c>
      <c r="C400" t="s">
        <v>320</v>
      </c>
      <c r="D400" t="s">
        <v>320</v>
      </c>
      <c r="E400" s="8" t="s">
        <v>83</v>
      </c>
      <c r="F400" t="s">
        <v>274</v>
      </c>
      <c r="G400" t="s">
        <v>779</v>
      </c>
      <c r="H400" t="s">
        <v>1070</v>
      </c>
      <c r="I400" s="2">
        <v>44851.693309108799</v>
      </c>
      <c r="J400" s="2">
        <v>44895</v>
      </c>
      <c r="K400" t="s">
        <v>510</v>
      </c>
    </row>
    <row r="401" spans="1:11">
      <c r="A401">
        <v>400</v>
      </c>
      <c r="B401">
        <v>168101042</v>
      </c>
      <c r="C401" t="s">
        <v>332</v>
      </c>
      <c r="D401" t="s">
        <v>1068</v>
      </c>
      <c r="E401" s="8" t="s">
        <v>789</v>
      </c>
      <c r="F401" t="s">
        <v>272</v>
      </c>
      <c r="G401" t="s">
        <v>779</v>
      </c>
      <c r="H401" t="s">
        <v>1070</v>
      </c>
      <c r="I401" s="2">
        <v>44851.8665329051</v>
      </c>
      <c r="J401" s="2">
        <v>44933</v>
      </c>
      <c r="K401" t="s">
        <v>511</v>
      </c>
    </row>
    <row r="402" spans="1:11">
      <c r="A402">
        <v>401</v>
      </c>
      <c r="B402">
        <v>166843381</v>
      </c>
      <c r="C402" t="s">
        <v>357</v>
      </c>
      <c r="D402" t="s">
        <v>357</v>
      </c>
      <c r="E402" s="8" t="s">
        <v>188</v>
      </c>
      <c r="F402" t="s">
        <v>279</v>
      </c>
      <c r="G402" t="s">
        <v>504</v>
      </c>
      <c r="H402" t="s">
        <v>1070</v>
      </c>
      <c r="I402" s="2">
        <v>44852.622508877299</v>
      </c>
      <c r="J402" s="2">
        <v>44895</v>
      </c>
      <c r="K402" t="s">
        <v>512</v>
      </c>
    </row>
    <row r="403" spans="1:11">
      <c r="A403">
        <v>402</v>
      </c>
      <c r="B403">
        <v>166551443</v>
      </c>
      <c r="C403" t="s">
        <v>320</v>
      </c>
      <c r="D403" t="s">
        <v>320</v>
      </c>
      <c r="E403" s="8" t="s">
        <v>130</v>
      </c>
      <c r="F403" t="s">
        <v>1108</v>
      </c>
      <c r="G403" t="s">
        <v>779</v>
      </c>
      <c r="H403" t="s">
        <v>1070</v>
      </c>
      <c r="I403" s="2">
        <v>44852.741601192101</v>
      </c>
      <c r="J403" s="2">
        <v>44927</v>
      </c>
      <c r="K403" t="s">
        <v>511</v>
      </c>
    </row>
    <row r="404" spans="1:11">
      <c r="A404">
        <v>403</v>
      </c>
      <c r="B404">
        <v>166551437</v>
      </c>
      <c r="C404" t="s">
        <v>678</v>
      </c>
      <c r="D404" t="s">
        <v>678</v>
      </c>
      <c r="E404" s="8" t="s">
        <v>129</v>
      </c>
      <c r="F404" t="s">
        <v>272</v>
      </c>
      <c r="G404" t="s">
        <v>779</v>
      </c>
      <c r="H404" t="s">
        <v>1070</v>
      </c>
      <c r="I404" s="2">
        <v>44852.788766932899</v>
      </c>
      <c r="J404" s="2">
        <v>44923</v>
      </c>
      <c r="K404" t="s">
        <v>511</v>
      </c>
    </row>
    <row r="405" spans="1:11">
      <c r="A405">
        <v>404</v>
      </c>
      <c r="B405">
        <v>169596454</v>
      </c>
      <c r="C405" t="s">
        <v>320</v>
      </c>
      <c r="D405" t="s">
        <v>320</v>
      </c>
      <c r="E405" s="8" t="s">
        <v>149</v>
      </c>
      <c r="F405" t="s">
        <v>274</v>
      </c>
      <c r="G405" t="s">
        <v>779</v>
      </c>
      <c r="H405" t="s">
        <v>1070</v>
      </c>
      <c r="I405" s="2">
        <v>44852.905956169001</v>
      </c>
      <c r="J405" s="2">
        <v>44972</v>
      </c>
      <c r="K405" t="s">
        <v>511</v>
      </c>
    </row>
    <row r="406" spans="1:11">
      <c r="A406">
        <v>405</v>
      </c>
      <c r="B406">
        <v>166551453</v>
      </c>
      <c r="C406" t="s">
        <v>678</v>
      </c>
      <c r="D406" t="s">
        <v>678</v>
      </c>
      <c r="E406" s="8" t="s">
        <v>129</v>
      </c>
      <c r="F406" t="s">
        <v>272</v>
      </c>
      <c r="G406" t="s">
        <v>779</v>
      </c>
      <c r="H406" t="s">
        <v>1070</v>
      </c>
      <c r="I406" s="2">
        <v>44853.021083645799</v>
      </c>
      <c r="J406" s="2">
        <v>44925</v>
      </c>
      <c r="K406" t="s">
        <v>511</v>
      </c>
    </row>
    <row r="407" spans="1:11">
      <c r="A407">
        <v>406</v>
      </c>
      <c r="B407">
        <v>166842279</v>
      </c>
      <c r="C407" t="s">
        <v>364</v>
      </c>
      <c r="D407" t="s">
        <v>1068</v>
      </c>
      <c r="E407" s="8" t="s">
        <v>163</v>
      </c>
      <c r="F407" t="s">
        <v>272</v>
      </c>
      <c r="I407" s="2">
        <v>44853.627939004597</v>
      </c>
      <c r="J407" s="2">
        <v>44933</v>
      </c>
      <c r="K407" t="s">
        <v>512</v>
      </c>
    </row>
    <row r="408" spans="1:11">
      <c r="A408">
        <v>407</v>
      </c>
      <c r="B408">
        <v>166552591</v>
      </c>
      <c r="C408" t="s">
        <v>311</v>
      </c>
      <c r="D408" t="s">
        <v>1068</v>
      </c>
      <c r="E408" s="8" t="s">
        <v>64</v>
      </c>
      <c r="F408" t="s">
        <v>272</v>
      </c>
      <c r="G408" t="s">
        <v>779</v>
      </c>
      <c r="H408" t="s">
        <v>1070</v>
      </c>
      <c r="I408" s="2">
        <v>44853.690862152798</v>
      </c>
      <c r="J408" s="2">
        <v>44895</v>
      </c>
      <c r="K408" t="s">
        <v>510</v>
      </c>
    </row>
    <row r="409" spans="1:11">
      <c r="A409">
        <v>408</v>
      </c>
      <c r="B409">
        <v>166552681</v>
      </c>
      <c r="C409" t="s">
        <v>314</v>
      </c>
      <c r="D409" t="s">
        <v>1041</v>
      </c>
      <c r="E409" s="8" t="s">
        <v>69</v>
      </c>
      <c r="F409" t="s">
        <v>272</v>
      </c>
      <c r="G409" t="s">
        <v>779</v>
      </c>
      <c r="H409" t="s">
        <v>1070</v>
      </c>
      <c r="I409" s="2">
        <v>44853.7481843403</v>
      </c>
      <c r="J409" s="2">
        <v>44895</v>
      </c>
      <c r="K409" t="s">
        <v>510</v>
      </c>
    </row>
    <row r="410" spans="1:11">
      <c r="A410">
        <v>409</v>
      </c>
      <c r="B410">
        <v>166843403</v>
      </c>
      <c r="C410" t="s">
        <v>374</v>
      </c>
      <c r="D410" t="s">
        <v>1042</v>
      </c>
      <c r="E410" s="8" t="s">
        <v>190</v>
      </c>
      <c r="F410" t="s">
        <v>272</v>
      </c>
      <c r="G410" t="s">
        <v>504</v>
      </c>
      <c r="H410" t="s">
        <v>1070</v>
      </c>
      <c r="I410" s="2">
        <v>44853.867236921302</v>
      </c>
      <c r="J410" s="2">
        <v>44895</v>
      </c>
      <c r="K410" t="s">
        <v>512</v>
      </c>
    </row>
    <row r="411" spans="1:11">
      <c r="A411">
        <v>410</v>
      </c>
      <c r="B411">
        <v>165377594</v>
      </c>
      <c r="C411" t="s">
        <v>357</v>
      </c>
      <c r="D411" t="s">
        <v>357</v>
      </c>
      <c r="E411" s="8" t="s">
        <v>36</v>
      </c>
      <c r="F411" t="s">
        <v>1108</v>
      </c>
      <c r="G411" t="s">
        <v>779</v>
      </c>
      <c r="H411" t="s">
        <v>1070</v>
      </c>
      <c r="I411" s="2">
        <v>44854.677375810199</v>
      </c>
      <c r="J411" s="2">
        <v>44895</v>
      </c>
      <c r="K411" t="s">
        <v>509</v>
      </c>
    </row>
    <row r="412" spans="1:11">
      <c r="A412">
        <v>411</v>
      </c>
      <c r="B412">
        <v>166549165</v>
      </c>
      <c r="C412" t="s">
        <v>971</v>
      </c>
      <c r="D412" t="s">
        <v>363</v>
      </c>
      <c r="E412" s="8" t="s">
        <v>92</v>
      </c>
      <c r="F412" t="s">
        <v>274</v>
      </c>
      <c r="G412" t="s">
        <v>779</v>
      </c>
      <c r="H412" t="s">
        <v>1070</v>
      </c>
      <c r="I412" s="2">
        <v>44855.422979745403</v>
      </c>
      <c r="J412" s="2">
        <v>44895</v>
      </c>
      <c r="K412" t="s">
        <v>511</v>
      </c>
    </row>
    <row r="413" spans="1:11">
      <c r="A413">
        <v>412</v>
      </c>
      <c r="B413">
        <v>168099656</v>
      </c>
      <c r="C413" t="s">
        <v>357</v>
      </c>
      <c r="D413" t="s">
        <v>357</v>
      </c>
      <c r="E413" s="8" t="s">
        <v>431</v>
      </c>
      <c r="F413" t="s">
        <v>272</v>
      </c>
      <c r="G413" t="s">
        <v>491</v>
      </c>
      <c r="H413" t="s">
        <v>1071</v>
      </c>
      <c r="I413" s="2">
        <v>44858.193298842598</v>
      </c>
      <c r="J413" s="2">
        <v>44968</v>
      </c>
      <c r="K413" t="s">
        <v>513</v>
      </c>
    </row>
    <row r="414" spans="1:11">
      <c r="A414">
        <v>413</v>
      </c>
      <c r="B414">
        <v>166549199</v>
      </c>
      <c r="C414" t="s">
        <v>346</v>
      </c>
      <c r="D414" t="s">
        <v>346</v>
      </c>
      <c r="E414" s="8" t="s">
        <v>173</v>
      </c>
      <c r="F414" t="s">
        <v>272</v>
      </c>
      <c r="G414" t="s">
        <v>779</v>
      </c>
      <c r="H414" t="s">
        <v>1070</v>
      </c>
      <c r="I414" s="2">
        <v>44858.812203437497</v>
      </c>
      <c r="J414" s="2">
        <v>44953</v>
      </c>
      <c r="K414" t="s">
        <v>512</v>
      </c>
    </row>
    <row r="415" spans="1:11">
      <c r="A415">
        <v>414</v>
      </c>
      <c r="B415">
        <v>166843379</v>
      </c>
      <c r="C415" t="s">
        <v>482</v>
      </c>
      <c r="D415" t="s">
        <v>1068</v>
      </c>
      <c r="E415" s="8" t="s">
        <v>190</v>
      </c>
      <c r="F415" t="s">
        <v>272</v>
      </c>
      <c r="G415" t="s">
        <v>504</v>
      </c>
      <c r="H415" t="s">
        <v>1070</v>
      </c>
      <c r="I415" s="2">
        <v>44859.4953467245</v>
      </c>
      <c r="J415" s="2">
        <v>44895</v>
      </c>
      <c r="K415" t="s">
        <v>512</v>
      </c>
    </row>
    <row r="416" spans="1:11">
      <c r="A416">
        <v>415</v>
      </c>
      <c r="B416">
        <v>168099683</v>
      </c>
      <c r="C416" t="s">
        <v>393</v>
      </c>
      <c r="D416" t="s">
        <v>1068</v>
      </c>
      <c r="E416" s="8" t="s">
        <v>238</v>
      </c>
      <c r="F416" t="s">
        <v>272</v>
      </c>
      <c r="G416" t="s">
        <v>491</v>
      </c>
      <c r="H416" t="s">
        <v>1071</v>
      </c>
      <c r="I416" s="2">
        <v>44859.801210879603</v>
      </c>
      <c r="J416" s="2">
        <v>44921</v>
      </c>
      <c r="K416" t="s">
        <v>512</v>
      </c>
    </row>
    <row r="417" spans="1:11">
      <c r="A417">
        <v>416</v>
      </c>
      <c r="B417">
        <v>166552651</v>
      </c>
      <c r="C417" t="s">
        <v>357</v>
      </c>
      <c r="D417" t="s">
        <v>357</v>
      </c>
      <c r="E417" s="8" t="s">
        <v>93</v>
      </c>
      <c r="F417" t="s">
        <v>1108</v>
      </c>
      <c r="G417" t="s">
        <v>779</v>
      </c>
      <c r="H417" t="s">
        <v>1070</v>
      </c>
      <c r="I417" s="2">
        <v>44859.824119444398</v>
      </c>
      <c r="J417" s="2">
        <v>44895</v>
      </c>
      <c r="K417" t="s">
        <v>511</v>
      </c>
    </row>
    <row r="418" spans="1:11">
      <c r="A418">
        <v>417</v>
      </c>
      <c r="B418">
        <v>166552689</v>
      </c>
      <c r="C418" t="s">
        <v>318</v>
      </c>
      <c r="D418" t="s">
        <v>1068</v>
      </c>
      <c r="E418" s="8" t="s">
        <v>738</v>
      </c>
      <c r="F418" t="s">
        <v>278</v>
      </c>
      <c r="G418" t="s">
        <v>779</v>
      </c>
      <c r="H418" t="s">
        <v>1070</v>
      </c>
      <c r="I418" s="2">
        <v>44860.114098379599</v>
      </c>
      <c r="J418" s="2">
        <v>44895</v>
      </c>
      <c r="K418" t="s">
        <v>510</v>
      </c>
    </row>
    <row r="419" spans="1:11">
      <c r="A419">
        <v>418</v>
      </c>
      <c r="B419">
        <v>157995192</v>
      </c>
      <c r="C419" t="s">
        <v>320</v>
      </c>
      <c r="D419" t="s">
        <v>320</v>
      </c>
      <c r="E419" s="8" t="s">
        <v>141</v>
      </c>
      <c r="F419" t="s">
        <v>272</v>
      </c>
      <c r="G419" t="s">
        <v>779</v>
      </c>
      <c r="H419" t="s">
        <v>1070</v>
      </c>
      <c r="I419" s="2">
        <v>44861.665248182901</v>
      </c>
      <c r="J419" s="2">
        <v>44950</v>
      </c>
      <c r="K419" t="s">
        <v>511</v>
      </c>
    </row>
    <row r="420" spans="1:11">
      <c r="A420">
        <v>419</v>
      </c>
      <c r="B420">
        <v>171232377</v>
      </c>
      <c r="C420" t="s">
        <v>931</v>
      </c>
      <c r="D420" t="s">
        <v>401</v>
      </c>
      <c r="E420" s="8" t="s">
        <v>212</v>
      </c>
      <c r="F420" t="s">
        <v>272</v>
      </c>
      <c r="G420" t="s">
        <v>491</v>
      </c>
      <c r="H420" t="s">
        <v>1071</v>
      </c>
      <c r="I420" s="2">
        <v>44862.785081365699</v>
      </c>
      <c r="J420" s="2">
        <v>44894</v>
      </c>
      <c r="K420" t="s">
        <v>512</v>
      </c>
    </row>
    <row r="421" spans="1:11">
      <c r="A421">
        <v>420</v>
      </c>
      <c r="B421">
        <v>166551733</v>
      </c>
      <c r="C421" t="s">
        <v>320</v>
      </c>
      <c r="D421" t="s">
        <v>320</v>
      </c>
      <c r="E421" s="8" t="s">
        <v>431</v>
      </c>
      <c r="F421" t="s">
        <v>272</v>
      </c>
      <c r="G421" t="s">
        <v>491</v>
      </c>
      <c r="H421" t="s">
        <v>1071</v>
      </c>
      <c r="I421" s="2">
        <v>44862.959131678203</v>
      </c>
      <c r="J421" s="2">
        <v>44986</v>
      </c>
      <c r="K421" t="s">
        <v>514</v>
      </c>
    </row>
    <row r="422" spans="1:11">
      <c r="A422">
        <v>421</v>
      </c>
      <c r="B422">
        <v>166551753</v>
      </c>
      <c r="C422" t="s">
        <v>921</v>
      </c>
      <c r="D422" t="s">
        <v>1068</v>
      </c>
      <c r="E422" s="8" t="s">
        <v>431</v>
      </c>
      <c r="F422" t="s">
        <v>272</v>
      </c>
      <c r="G422" t="s">
        <v>491</v>
      </c>
      <c r="H422" t="s">
        <v>1071</v>
      </c>
      <c r="I422" s="2">
        <v>44865.532691053202</v>
      </c>
      <c r="J422" s="2">
        <v>44983</v>
      </c>
      <c r="K422" t="s">
        <v>514</v>
      </c>
    </row>
    <row r="423" spans="1:11">
      <c r="A423">
        <v>422</v>
      </c>
      <c r="B423">
        <v>166549989</v>
      </c>
      <c r="C423" t="s">
        <v>320</v>
      </c>
      <c r="D423" t="s">
        <v>320</v>
      </c>
      <c r="E423" s="8" t="s">
        <v>198</v>
      </c>
      <c r="F423" t="s">
        <v>272</v>
      </c>
      <c r="G423" t="s">
        <v>504</v>
      </c>
      <c r="H423" t="s">
        <v>1070</v>
      </c>
      <c r="I423" s="2">
        <v>44865.600372800902</v>
      </c>
      <c r="J423" s="2">
        <v>44895</v>
      </c>
      <c r="K423" t="s">
        <v>512</v>
      </c>
    </row>
    <row r="424" spans="1:11">
      <c r="A424">
        <v>423</v>
      </c>
      <c r="B424">
        <v>166549973</v>
      </c>
      <c r="C424" t="s">
        <v>930</v>
      </c>
      <c r="D424" t="s">
        <v>401</v>
      </c>
      <c r="E424" s="8" t="s">
        <v>198</v>
      </c>
      <c r="F424" t="s">
        <v>272</v>
      </c>
      <c r="G424" t="s">
        <v>504</v>
      </c>
      <c r="H424" t="s">
        <v>1070</v>
      </c>
      <c r="I424" s="2">
        <v>44865.7437741088</v>
      </c>
      <c r="J424" s="2">
        <v>44895</v>
      </c>
      <c r="K424" t="s">
        <v>512</v>
      </c>
    </row>
    <row r="425" spans="1:11">
      <c r="A425">
        <v>424</v>
      </c>
      <c r="B425">
        <v>166552593</v>
      </c>
      <c r="C425" t="s">
        <v>320</v>
      </c>
      <c r="D425" t="s">
        <v>320</v>
      </c>
      <c r="E425" s="8" t="s">
        <v>63</v>
      </c>
      <c r="F425" t="s">
        <v>272</v>
      </c>
      <c r="G425" t="s">
        <v>779</v>
      </c>
      <c r="H425" t="s">
        <v>1070</v>
      </c>
      <c r="I425" s="2">
        <v>44865.779444560198</v>
      </c>
      <c r="J425" s="2">
        <v>44895</v>
      </c>
      <c r="K425" t="s">
        <v>510</v>
      </c>
    </row>
    <row r="426" spans="1:11">
      <c r="A426">
        <v>425</v>
      </c>
      <c r="B426">
        <v>168099665</v>
      </c>
      <c r="C426" t="s">
        <v>357</v>
      </c>
      <c r="D426" t="s">
        <v>357</v>
      </c>
      <c r="E426" s="8"/>
      <c r="F426" t="s">
        <v>272</v>
      </c>
      <c r="G426" t="s">
        <v>491</v>
      </c>
      <c r="H426" t="s">
        <v>1071</v>
      </c>
      <c r="I426" s="2">
        <v>44866.564067476902</v>
      </c>
      <c r="J426" s="2">
        <v>44979</v>
      </c>
      <c r="K426" t="s">
        <v>513</v>
      </c>
    </row>
    <row r="427" spans="1:11">
      <c r="A427">
        <v>426</v>
      </c>
      <c r="B427">
        <v>165377596</v>
      </c>
      <c r="C427" t="s">
        <v>320</v>
      </c>
      <c r="D427" t="s">
        <v>320</v>
      </c>
      <c r="E427" s="8" t="s">
        <v>36</v>
      </c>
      <c r="F427" t="s">
        <v>1108</v>
      </c>
      <c r="G427" t="s">
        <v>779</v>
      </c>
      <c r="H427" t="s">
        <v>1070</v>
      </c>
      <c r="I427" s="2">
        <v>44866.816593946802</v>
      </c>
      <c r="J427" s="2">
        <v>44895</v>
      </c>
      <c r="K427" t="s">
        <v>509</v>
      </c>
    </row>
    <row r="428" spans="1:11">
      <c r="A428">
        <v>427</v>
      </c>
      <c r="B428">
        <v>157994598</v>
      </c>
      <c r="D428" t="s">
        <v>1108</v>
      </c>
      <c r="E428" s="8" t="s">
        <v>117</v>
      </c>
      <c r="F428" t="s">
        <v>272</v>
      </c>
      <c r="G428" t="s">
        <v>779</v>
      </c>
      <c r="H428" t="s">
        <v>1070</v>
      </c>
      <c r="I428" s="2">
        <v>44866.907423958299</v>
      </c>
      <c r="J428" s="2">
        <v>44889</v>
      </c>
      <c r="K428" t="s">
        <v>511</v>
      </c>
    </row>
    <row r="429" spans="1:11">
      <c r="A429">
        <v>428</v>
      </c>
      <c r="B429">
        <v>166842799</v>
      </c>
      <c r="C429" t="s">
        <v>320</v>
      </c>
      <c r="D429" t="s">
        <v>320</v>
      </c>
      <c r="E429" s="8" t="s">
        <v>51</v>
      </c>
      <c r="F429" t="s">
        <v>272</v>
      </c>
      <c r="G429" t="s">
        <v>779</v>
      </c>
      <c r="H429" t="s">
        <v>1070</v>
      </c>
      <c r="I429" s="2">
        <v>44867.428684375001</v>
      </c>
      <c r="J429" s="2">
        <v>44895</v>
      </c>
      <c r="K429" t="s">
        <v>510</v>
      </c>
    </row>
    <row r="430" spans="1:11">
      <c r="A430">
        <v>429</v>
      </c>
      <c r="B430">
        <v>166553363</v>
      </c>
      <c r="C430" t="s">
        <v>320</v>
      </c>
      <c r="D430" t="s">
        <v>320</v>
      </c>
      <c r="E430" s="8" t="s">
        <v>93</v>
      </c>
      <c r="F430" t="s">
        <v>1108</v>
      </c>
      <c r="G430" t="s">
        <v>779</v>
      </c>
      <c r="H430" t="s">
        <v>1070</v>
      </c>
      <c r="I430" s="2">
        <v>44867.582849386599</v>
      </c>
      <c r="J430" s="2">
        <v>44895</v>
      </c>
      <c r="K430" t="s">
        <v>511</v>
      </c>
    </row>
    <row r="431" spans="1:11">
      <c r="A431">
        <v>430</v>
      </c>
      <c r="B431">
        <v>166552639</v>
      </c>
      <c r="C431" t="s">
        <v>678</v>
      </c>
      <c r="D431" t="s">
        <v>678</v>
      </c>
      <c r="E431" s="8" t="s">
        <v>71</v>
      </c>
      <c r="F431" t="s">
        <v>272</v>
      </c>
      <c r="G431" t="s">
        <v>779</v>
      </c>
      <c r="H431" t="s">
        <v>1070</v>
      </c>
      <c r="I431" s="2">
        <v>44867.792192673602</v>
      </c>
      <c r="J431" s="2">
        <v>44895</v>
      </c>
      <c r="K431" t="s">
        <v>510</v>
      </c>
    </row>
    <row r="432" spans="1:11">
      <c r="A432">
        <v>431</v>
      </c>
      <c r="B432">
        <v>166549977</v>
      </c>
      <c r="D432" t="s">
        <v>1108</v>
      </c>
      <c r="E432" s="8" t="s">
        <v>197</v>
      </c>
      <c r="F432" t="s">
        <v>274</v>
      </c>
      <c r="G432" t="s">
        <v>504</v>
      </c>
      <c r="H432" t="s">
        <v>1070</v>
      </c>
      <c r="I432" s="2">
        <v>44868.492259409701</v>
      </c>
      <c r="J432" s="2">
        <v>44895</v>
      </c>
      <c r="K432" t="s">
        <v>512</v>
      </c>
    </row>
    <row r="433" spans="1:11">
      <c r="A433">
        <v>432</v>
      </c>
      <c r="B433">
        <v>168101264</v>
      </c>
      <c r="C433" t="s">
        <v>339</v>
      </c>
      <c r="D433" t="s">
        <v>1042</v>
      </c>
      <c r="E433" s="8" t="s">
        <v>118</v>
      </c>
      <c r="F433" t="s">
        <v>272</v>
      </c>
      <c r="G433" t="s">
        <v>779</v>
      </c>
      <c r="H433" t="s">
        <v>1070</v>
      </c>
      <c r="I433" s="2">
        <v>44868.520495798599</v>
      </c>
      <c r="J433" s="2">
        <v>44891</v>
      </c>
      <c r="K433" t="s">
        <v>511</v>
      </c>
    </row>
    <row r="434" spans="1:11">
      <c r="A434">
        <v>433</v>
      </c>
      <c r="B434">
        <v>166551683</v>
      </c>
      <c r="C434" t="s">
        <v>357</v>
      </c>
      <c r="D434" t="s">
        <v>357</v>
      </c>
      <c r="E434" s="8" t="s">
        <v>424</v>
      </c>
      <c r="F434" t="s">
        <v>272</v>
      </c>
      <c r="G434" t="s">
        <v>491</v>
      </c>
      <c r="H434" t="s">
        <v>1071</v>
      </c>
      <c r="I434" s="2">
        <v>44868.566786840303</v>
      </c>
      <c r="J434" s="2">
        <v>44944</v>
      </c>
      <c r="K434" t="s">
        <v>512</v>
      </c>
    </row>
    <row r="435" spans="1:11">
      <c r="A435">
        <v>434</v>
      </c>
      <c r="B435">
        <v>166551719</v>
      </c>
      <c r="C435" t="s">
        <v>929</v>
      </c>
      <c r="D435" t="s">
        <v>1068</v>
      </c>
      <c r="E435" s="8" t="s">
        <v>431</v>
      </c>
      <c r="F435" t="s">
        <v>272</v>
      </c>
      <c r="G435" t="s">
        <v>491</v>
      </c>
      <c r="H435" t="s">
        <v>1071</v>
      </c>
      <c r="I435" s="2">
        <v>44868.721119016198</v>
      </c>
      <c r="J435" s="2">
        <v>44984</v>
      </c>
      <c r="K435" t="s">
        <v>514</v>
      </c>
    </row>
    <row r="436" spans="1:11">
      <c r="A436">
        <v>435</v>
      </c>
      <c r="B436">
        <v>166557649</v>
      </c>
      <c r="C436" t="s">
        <v>326</v>
      </c>
      <c r="D436" t="s">
        <v>1068</v>
      </c>
      <c r="E436" s="8" t="s">
        <v>90</v>
      </c>
      <c r="F436" t="s">
        <v>272</v>
      </c>
      <c r="G436" t="s">
        <v>779</v>
      </c>
      <c r="H436" t="s">
        <v>1070</v>
      </c>
      <c r="I436" s="2">
        <v>44868.724040127301</v>
      </c>
      <c r="J436" s="2">
        <v>44895</v>
      </c>
      <c r="K436" t="s">
        <v>511</v>
      </c>
    </row>
    <row r="437" spans="1:11">
      <c r="A437">
        <v>436</v>
      </c>
      <c r="B437">
        <v>166843385</v>
      </c>
      <c r="C437" t="s">
        <v>320</v>
      </c>
      <c r="D437" t="s">
        <v>320</v>
      </c>
      <c r="E437" s="8" t="s">
        <v>188</v>
      </c>
      <c r="F437" t="s">
        <v>279</v>
      </c>
      <c r="I437" s="2">
        <v>44869.579960682902</v>
      </c>
      <c r="J437" s="2">
        <v>44895</v>
      </c>
      <c r="K437" t="s">
        <v>512</v>
      </c>
    </row>
    <row r="438" spans="1:11">
      <c r="A438">
        <v>437</v>
      </c>
      <c r="B438">
        <v>166843395</v>
      </c>
      <c r="C438" t="s">
        <v>320</v>
      </c>
      <c r="D438" t="s">
        <v>320</v>
      </c>
      <c r="E438" s="8" t="s">
        <v>189</v>
      </c>
      <c r="F438" t="s">
        <v>279</v>
      </c>
      <c r="I438" s="2">
        <v>44869.579960682902</v>
      </c>
      <c r="J438" s="2">
        <v>44895</v>
      </c>
      <c r="K438" t="s">
        <v>512</v>
      </c>
    </row>
    <row r="439" spans="1:11">
      <c r="A439">
        <v>438</v>
      </c>
      <c r="B439">
        <v>166553393</v>
      </c>
      <c r="C439" t="s">
        <v>320</v>
      </c>
      <c r="D439" t="s">
        <v>320</v>
      </c>
      <c r="E439" s="8" t="s">
        <v>88</v>
      </c>
      <c r="F439" t="s">
        <v>279</v>
      </c>
      <c r="G439" t="s">
        <v>779</v>
      </c>
      <c r="H439" t="s">
        <v>1070</v>
      </c>
      <c r="I439" s="2">
        <v>44869.832491817098</v>
      </c>
      <c r="J439" s="2">
        <v>44895</v>
      </c>
      <c r="K439" t="s">
        <v>510</v>
      </c>
    </row>
    <row r="440" spans="1:11">
      <c r="A440">
        <v>439</v>
      </c>
      <c r="B440">
        <v>166549153</v>
      </c>
      <c r="C440" t="s">
        <v>320</v>
      </c>
      <c r="D440" t="s">
        <v>320</v>
      </c>
      <c r="E440" s="8" t="s">
        <v>49</v>
      </c>
      <c r="F440" t="s">
        <v>274</v>
      </c>
      <c r="G440" t="s">
        <v>779</v>
      </c>
      <c r="H440" t="s">
        <v>1070</v>
      </c>
      <c r="I440" s="2">
        <v>44870.496615046301</v>
      </c>
      <c r="J440" s="2">
        <v>44895</v>
      </c>
      <c r="K440" t="s">
        <v>510</v>
      </c>
    </row>
    <row r="441" spans="1:11">
      <c r="A441">
        <v>440</v>
      </c>
      <c r="B441">
        <v>166549981</v>
      </c>
      <c r="C441" t="s">
        <v>320</v>
      </c>
      <c r="D441" t="s">
        <v>320</v>
      </c>
      <c r="E441" s="8" t="s">
        <v>198</v>
      </c>
      <c r="F441" t="s">
        <v>272</v>
      </c>
      <c r="G441" t="s">
        <v>504</v>
      </c>
      <c r="H441" t="s">
        <v>1070</v>
      </c>
      <c r="I441" s="2">
        <v>44870.826608946802</v>
      </c>
      <c r="J441" s="2">
        <v>44895</v>
      </c>
      <c r="K441" t="s">
        <v>512</v>
      </c>
    </row>
    <row r="442" spans="1:11">
      <c r="A442">
        <v>441</v>
      </c>
      <c r="B442">
        <v>166552647</v>
      </c>
      <c r="C442" t="s">
        <v>357</v>
      </c>
      <c r="D442" t="s">
        <v>357</v>
      </c>
      <c r="E442" s="8" t="s">
        <v>61</v>
      </c>
      <c r="F442" t="s">
        <v>272</v>
      </c>
      <c r="G442" t="s">
        <v>779</v>
      </c>
      <c r="H442" t="s">
        <v>1070</v>
      </c>
      <c r="I442" s="2">
        <v>44872.583332557901</v>
      </c>
      <c r="J442" s="2">
        <v>44895</v>
      </c>
      <c r="K442" t="s">
        <v>510</v>
      </c>
    </row>
    <row r="443" spans="1:11">
      <c r="A443">
        <v>442</v>
      </c>
      <c r="B443">
        <v>166557669</v>
      </c>
      <c r="C443" t="s">
        <v>320</v>
      </c>
      <c r="D443" t="s">
        <v>320</v>
      </c>
      <c r="E443" s="8" t="s">
        <v>61</v>
      </c>
      <c r="F443" t="s">
        <v>272</v>
      </c>
      <c r="G443" t="s">
        <v>779</v>
      </c>
      <c r="H443" t="s">
        <v>1070</v>
      </c>
      <c r="I443" s="2">
        <v>44872.603259294003</v>
      </c>
      <c r="J443" s="2">
        <v>44895</v>
      </c>
      <c r="K443" t="s">
        <v>510</v>
      </c>
    </row>
    <row r="444" spans="1:11">
      <c r="A444">
        <v>443</v>
      </c>
      <c r="B444">
        <v>166549255</v>
      </c>
      <c r="C444" t="s">
        <v>320</v>
      </c>
      <c r="D444" t="s">
        <v>320</v>
      </c>
      <c r="E444" s="8" t="s">
        <v>464</v>
      </c>
      <c r="F444" t="s">
        <v>272</v>
      </c>
      <c r="G444" t="s">
        <v>491</v>
      </c>
      <c r="H444" t="s">
        <v>1071</v>
      </c>
      <c r="I444" s="2">
        <v>44872.765714085603</v>
      </c>
      <c r="J444" s="2">
        <v>45008</v>
      </c>
      <c r="K444" t="s">
        <v>514</v>
      </c>
    </row>
    <row r="445" spans="1:11">
      <c r="A445">
        <v>444</v>
      </c>
      <c r="B445">
        <v>169596448</v>
      </c>
      <c r="C445" t="s">
        <v>358</v>
      </c>
      <c r="D445" t="s">
        <v>1042</v>
      </c>
      <c r="E445" s="8" t="s">
        <v>149</v>
      </c>
      <c r="F445" t="s">
        <v>274</v>
      </c>
      <c r="G445" t="s">
        <v>779</v>
      </c>
      <c r="H445" t="s">
        <v>1070</v>
      </c>
      <c r="I445" s="2">
        <v>44873.0342417477</v>
      </c>
      <c r="J445" s="2">
        <v>44973</v>
      </c>
      <c r="K445" t="s">
        <v>511</v>
      </c>
    </row>
    <row r="446" spans="1:11">
      <c r="A446">
        <v>445</v>
      </c>
      <c r="B446">
        <v>166552621</v>
      </c>
      <c r="C446" t="s">
        <v>948</v>
      </c>
      <c r="D446" t="s">
        <v>1068</v>
      </c>
      <c r="E446" s="8" t="s">
        <v>69</v>
      </c>
      <c r="F446" t="s">
        <v>272</v>
      </c>
      <c r="G446" t="s">
        <v>779</v>
      </c>
      <c r="H446" t="s">
        <v>1070</v>
      </c>
      <c r="I446" s="2">
        <v>44873.548658877298</v>
      </c>
      <c r="J446" s="2">
        <v>44895</v>
      </c>
      <c r="K446" t="s">
        <v>510</v>
      </c>
    </row>
    <row r="447" spans="1:11">
      <c r="A447">
        <v>446</v>
      </c>
      <c r="B447">
        <v>166549271</v>
      </c>
      <c r="C447" t="s">
        <v>1004</v>
      </c>
      <c r="D447" t="s">
        <v>1042</v>
      </c>
      <c r="E447" s="8" t="s">
        <v>470</v>
      </c>
      <c r="F447" t="s">
        <v>1108</v>
      </c>
      <c r="G447" t="s">
        <v>499</v>
      </c>
      <c r="H447" t="s">
        <v>1070</v>
      </c>
      <c r="I447" s="2">
        <v>44873.609229479203</v>
      </c>
      <c r="J447" s="2">
        <v>45020</v>
      </c>
      <c r="K447" t="s">
        <v>514</v>
      </c>
    </row>
    <row r="448" spans="1:11">
      <c r="A448">
        <v>447</v>
      </c>
      <c r="B448">
        <v>166843603</v>
      </c>
      <c r="C448" t="s">
        <v>320</v>
      </c>
      <c r="D448" t="s">
        <v>320</v>
      </c>
      <c r="E448" s="8" t="s">
        <v>409</v>
      </c>
      <c r="F448" t="s">
        <v>272</v>
      </c>
      <c r="G448" t="s">
        <v>491</v>
      </c>
      <c r="H448" t="s">
        <v>1071</v>
      </c>
      <c r="I448" s="2">
        <v>44873.655992048603</v>
      </c>
      <c r="J448" s="2">
        <v>44930</v>
      </c>
      <c r="K448" t="s">
        <v>512</v>
      </c>
    </row>
    <row r="449" spans="1:11">
      <c r="A449">
        <v>448</v>
      </c>
      <c r="B449">
        <v>165050816</v>
      </c>
      <c r="C449" t="s">
        <v>938</v>
      </c>
      <c r="D449" t="s">
        <v>401</v>
      </c>
      <c r="E449" s="8" t="s">
        <v>411</v>
      </c>
      <c r="F449" t="s">
        <v>279</v>
      </c>
      <c r="G449" t="s">
        <v>491</v>
      </c>
      <c r="H449" t="s">
        <v>1071</v>
      </c>
      <c r="I449" s="2">
        <v>44873.667276851796</v>
      </c>
      <c r="J449" s="2">
        <v>44931</v>
      </c>
      <c r="K449" t="s">
        <v>512</v>
      </c>
    </row>
    <row r="450" spans="1:11">
      <c r="A450">
        <v>449</v>
      </c>
      <c r="B450">
        <v>166551691</v>
      </c>
      <c r="C450" t="s">
        <v>320</v>
      </c>
      <c r="D450" t="s">
        <v>320</v>
      </c>
      <c r="E450" s="8" t="s">
        <v>413</v>
      </c>
      <c r="F450" t="s">
        <v>274</v>
      </c>
      <c r="G450" t="s">
        <v>491</v>
      </c>
      <c r="H450" t="s">
        <v>1071</v>
      </c>
      <c r="I450" s="2">
        <v>44873.6727608449</v>
      </c>
      <c r="J450" s="2">
        <v>44936</v>
      </c>
      <c r="K450" t="s">
        <v>512</v>
      </c>
    </row>
    <row r="451" spans="1:11">
      <c r="A451">
        <v>450</v>
      </c>
      <c r="B451">
        <v>166551729</v>
      </c>
      <c r="C451" t="s">
        <v>357</v>
      </c>
      <c r="D451" t="s">
        <v>357</v>
      </c>
      <c r="E451" s="8" t="s">
        <v>431</v>
      </c>
      <c r="F451" t="s">
        <v>272</v>
      </c>
      <c r="G451" t="s">
        <v>491</v>
      </c>
      <c r="H451" t="s">
        <v>1071</v>
      </c>
      <c r="I451" s="2">
        <v>44873.982060034701</v>
      </c>
      <c r="J451" s="2">
        <v>44995</v>
      </c>
      <c r="K451" t="s">
        <v>514</v>
      </c>
    </row>
    <row r="452" spans="1:11">
      <c r="A452">
        <v>451</v>
      </c>
      <c r="B452">
        <v>157993204</v>
      </c>
      <c r="C452" t="s">
        <v>320</v>
      </c>
      <c r="D452" t="s">
        <v>320</v>
      </c>
      <c r="E452" s="8" t="s">
        <v>117</v>
      </c>
      <c r="F452" t="s">
        <v>272</v>
      </c>
      <c r="G452" t="s">
        <v>779</v>
      </c>
      <c r="H452" t="s">
        <v>1070</v>
      </c>
      <c r="I452" s="2">
        <v>44874.080738807897</v>
      </c>
      <c r="J452" s="2">
        <v>44890</v>
      </c>
      <c r="K452" t="s">
        <v>511</v>
      </c>
    </row>
    <row r="453" spans="1:11">
      <c r="A453">
        <v>452</v>
      </c>
      <c r="B453">
        <v>143041438</v>
      </c>
      <c r="C453" t="s">
        <v>678</v>
      </c>
      <c r="D453" t="s">
        <v>678</v>
      </c>
      <c r="E453" s="8" t="s">
        <v>60</v>
      </c>
      <c r="F453" t="s">
        <v>274</v>
      </c>
      <c r="G453" t="s">
        <v>779</v>
      </c>
      <c r="H453" t="s">
        <v>1070</v>
      </c>
      <c r="I453" s="2">
        <v>44874.604894363401</v>
      </c>
      <c r="J453" s="2">
        <v>44895</v>
      </c>
      <c r="K453" t="s">
        <v>510</v>
      </c>
    </row>
    <row r="454" spans="1:11">
      <c r="A454">
        <v>453</v>
      </c>
      <c r="B454">
        <v>170982679</v>
      </c>
      <c r="C454" t="s">
        <v>320</v>
      </c>
      <c r="D454" t="s">
        <v>320</v>
      </c>
      <c r="E454" s="8" t="s">
        <v>220</v>
      </c>
      <c r="F454" t="s">
        <v>278</v>
      </c>
      <c r="G454" t="s">
        <v>491</v>
      </c>
      <c r="H454" t="s">
        <v>1071</v>
      </c>
      <c r="I454" s="2">
        <v>44874.610116863398</v>
      </c>
      <c r="J454" s="2">
        <v>44898</v>
      </c>
      <c r="K454" t="s">
        <v>512</v>
      </c>
    </row>
    <row r="455" spans="1:11">
      <c r="A455">
        <v>454</v>
      </c>
      <c r="B455">
        <v>148459342</v>
      </c>
      <c r="C455" t="s">
        <v>678</v>
      </c>
      <c r="D455" t="s">
        <v>678</v>
      </c>
      <c r="E455" s="8" t="s">
        <v>221</v>
      </c>
      <c r="F455" t="s">
        <v>272</v>
      </c>
      <c r="G455" t="s">
        <v>491</v>
      </c>
      <c r="H455" t="s">
        <v>1071</v>
      </c>
      <c r="I455" s="2">
        <v>44874.623525578703</v>
      </c>
      <c r="J455" s="2">
        <v>44899</v>
      </c>
      <c r="K455" t="s">
        <v>512</v>
      </c>
    </row>
    <row r="456" spans="1:11">
      <c r="A456">
        <v>455</v>
      </c>
      <c r="B456">
        <v>158338082</v>
      </c>
      <c r="C456" t="s">
        <v>357</v>
      </c>
      <c r="D456" t="s">
        <v>357</v>
      </c>
      <c r="E456" s="8" t="s">
        <v>212</v>
      </c>
      <c r="F456" t="s">
        <v>272</v>
      </c>
      <c r="G456" t="s">
        <v>491</v>
      </c>
      <c r="H456" t="s">
        <v>1071</v>
      </c>
      <c r="I456" s="2">
        <v>44874.624527199099</v>
      </c>
      <c r="J456" s="2">
        <v>44895</v>
      </c>
      <c r="K456" t="s">
        <v>512</v>
      </c>
    </row>
    <row r="457" spans="1:11">
      <c r="A457">
        <v>456</v>
      </c>
      <c r="B457">
        <v>143033146</v>
      </c>
      <c r="C457" t="s">
        <v>320</v>
      </c>
      <c r="D457" t="s">
        <v>320</v>
      </c>
      <c r="E457" s="8" t="s">
        <v>221</v>
      </c>
      <c r="F457" t="s">
        <v>272</v>
      </c>
      <c r="G457" t="s">
        <v>491</v>
      </c>
      <c r="H457" t="s">
        <v>1071</v>
      </c>
      <c r="I457" s="2">
        <v>44874.625544988397</v>
      </c>
      <c r="J457" s="2">
        <v>44900</v>
      </c>
      <c r="K457" t="s">
        <v>512</v>
      </c>
    </row>
    <row r="458" spans="1:11">
      <c r="A458">
        <v>457</v>
      </c>
      <c r="B458">
        <v>166549993</v>
      </c>
      <c r="C458" t="s">
        <v>972</v>
      </c>
      <c r="D458" t="s">
        <v>363</v>
      </c>
      <c r="E458" s="8" t="s">
        <v>213</v>
      </c>
      <c r="F458" t="s">
        <v>272</v>
      </c>
      <c r="G458" t="s">
        <v>491</v>
      </c>
      <c r="H458" t="s">
        <v>1071</v>
      </c>
      <c r="I458" s="2">
        <v>44874.646380937498</v>
      </c>
      <c r="J458" s="2">
        <v>44896</v>
      </c>
      <c r="K458" t="s">
        <v>512</v>
      </c>
    </row>
    <row r="459" spans="1:11">
      <c r="A459">
        <v>458</v>
      </c>
      <c r="B459">
        <v>148457684</v>
      </c>
      <c r="C459" t="s">
        <v>357</v>
      </c>
      <c r="D459" t="s">
        <v>357</v>
      </c>
      <c r="E459" s="8" t="s">
        <v>221</v>
      </c>
      <c r="F459" t="s">
        <v>272</v>
      </c>
      <c r="G459" t="s">
        <v>491</v>
      </c>
      <c r="H459" t="s">
        <v>1071</v>
      </c>
      <c r="I459" s="2">
        <v>44874.647495868099</v>
      </c>
      <c r="J459" s="2">
        <v>44902</v>
      </c>
      <c r="K459" t="s">
        <v>512</v>
      </c>
    </row>
    <row r="460" spans="1:11">
      <c r="A460">
        <v>459</v>
      </c>
      <c r="B460">
        <v>166553403</v>
      </c>
      <c r="C460" t="s">
        <v>357</v>
      </c>
      <c r="D460" t="s">
        <v>357</v>
      </c>
      <c r="E460" s="8" t="s">
        <v>81</v>
      </c>
      <c r="F460" t="s">
        <v>272</v>
      </c>
      <c r="G460" t="s">
        <v>779</v>
      </c>
      <c r="H460" t="s">
        <v>1070</v>
      </c>
      <c r="I460" s="2">
        <v>44874.6554638542</v>
      </c>
      <c r="J460" s="2">
        <v>44895</v>
      </c>
      <c r="K460" t="s">
        <v>510</v>
      </c>
    </row>
    <row r="461" spans="1:11">
      <c r="A461">
        <v>460</v>
      </c>
      <c r="B461">
        <v>136264545</v>
      </c>
      <c r="C461" t="s">
        <v>386</v>
      </c>
      <c r="D461" t="s">
        <v>363</v>
      </c>
      <c r="E461" s="8" t="s">
        <v>221</v>
      </c>
      <c r="F461" t="s">
        <v>272</v>
      </c>
      <c r="G461" t="s">
        <v>491</v>
      </c>
      <c r="H461" t="s">
        <v>1071</v>
      </c>
      <c r="I461" s="2">
        <v>44874.663010914403</v>
      </c>
      <c r="J461" s="2">
        <v>44901</v>
      </c>
      <c r="K461" t="s">
        <v>512</v>
      </c>
    </row>
    <row r="462" spans="1:11">
      <c r="A462">
        <v>461</v>
      </c>
      <c r="B462">
        <v>166551741</v>
      </c>
      <c r="D462" t="s">
        <v>1108</v>
      </c>
      <c r="E462" s="8" t="s">
        <v>431</v>
      </c>
      <c r="F462" t="s">
        <v>272</v>
      </c>
      <c r="G462" t="s">
        <v>491</v>
      </c>
      <c r="H462" t="s">
        <v>1071</v>
      </c>
      <c r="I462" s="2">
        <v>44874.807110995403</v>
      </c>
      <c r="J462" s="2">
        <v>44980</v>
      </c>
      <c r="K462" t="s">
        <v>514</v>
      </c>
    </row>
    <row r="463" spans="1:11">
      <c r="A463">
        <v>462</v>
      </c>
      <c r="B463">
        <v>166557665</v>
      </c>
      <c r="C463" t="s">
        <v>307</v>
      </c>
      <c r="D463" t="s">
        <v>1068</v>
      </c>
      <c r="E463" s="8" t="s">
        <v>61</v>
      </c>
      <c r="F463" t="s">
        <v>272</v>
      </c>
      <c r="G463" t="s">
        <v>779</v>
      </c>
      <c r="H463" t="s">
        <v>1070</v>
      </c>
      <c r="I463" s="2">
        <v>44875.6358491551</v>
      </c>
      <c r="J463" s="2">
        <v>44895</v>
      </c>
      <c r="K463" t="s">
        <v>510</v>
      </c>
    </row>
    <row r="464" spans="1:11">
      <c r="A464">
        <v>463</v>
      </c>
      <c r="B464">
        <v>166553423</v>
      </c>
      <c r="C464" t="s">
        <v>357</v>
      </c>
      <c r="D464" t="s">
        <v>357</v>
      </c>
      <c r="E464" s="8" t="s">
        <v>730</v>
      </c>
      <c r="F464" t="s">
        <v>1108</v>
      </c>
      <c r="G464" t="s">
        <v>779</v>
      </c>
      <c r="H464" t="s">
        <v>1070</v>
      </c>
      <c r="I464" s="2">
        <v>44875.888951770801</v>
      </c>
      <c r="J464" s="2">
        <v>44964</v>
      </c>
      <c r="K464" t="s">
        <v>511</v>
      </c>
    </row>
    <row r="465" spans="1:11">
      <c r="A465">
        <v>464</v>
      </c>
      <c r="B465">
        <v>166842299</v>
      </c>
      <c r="C465" t="s">
        <v>369</v>
      </c>
      <c r="D465" t="s">
        <v>363</v>
      </c>
      <c r="E465" s="8" t="s">
        <v>180</v>
      </c>
      <c r="F465" t="s">
        <v>274</v>
      </c>
      <c r="G465" t="s">
        <v>779</v>
      </c>
      <c r="H465" t="s">
        <v>1070</v>
      </c>
      <c r="I465" s="2">
        <v>44876.657238194399</v>
      </c>
      <c r="J465" s="2">
        <v>44958</v>
      </c>
      <c r="K465" t="s">
        <v>512</v>
      </c>
    </row>
    <row r="466" spans="1:11">
      <c r="A466">
        <v>465</v>
      </c>
      <c r="B466">
        <v>170273305</v>
      </c>
      <c r="C466" t="s">
        <v>380</v>
      </c>
      <c r="D466" t="s">
        <v>346</v>
      </c>
      <c r="E466" s="8" t="s">
        <v>205</v>
      </c>
      <c r="F466" t="s">
        <v>273</v>
      </c>
      <c r="G466" t="s">
        <v>504</v>
      </c>
      <c r="H466" t="s">
        <v>1070</v>
      </c>
      <c r="I466" s="2">
        <v>44876.9158944097</v>
      </c>
      <c r="J466" s="2">
        <v>44895</v>
      </c>
      <c r="K466" t="s">
        <v>512</v>
      </c>
    </row>
    <row r="467" spans="1:11">
      <c r="A467">
        <v>466</v>
      </c>
      <c r="B467">
        <v>166605947</v>
      </c>
      <c r="C467" t="s">
        <v>357</v>
      </c>
      <c r="D467" t="s">
        <v>357</v>
      </c>
      <c r="E467" s="8" t="s">
        <v>212</v>
      </c>
      <c r="F467" t="s">
        <v>272</v>
      </c>
      <c r="G467" t="s">
        <v>491</v>
      </c>
      <c r="H467" t="s">
        <v>1071</v>
      </c>
      <c r="I467" s="2">
        <v>44879.323877349503</v>
      </c>
      <c r="J467" s="2">
        <v>44893</v>
      </c>
      <c r="K467" t="s">
        <v>512</v>
      </c>
    </row>
    <row r="468" spans="1:11">
      <c r="A468">
        <v>467</v>
      </c>
      <c r="B468">
        <v>166605943</v>
      </c>
      <c r="C468" t="s">
        <v>341</v>
      </c>
      <c r="D468" t="s">
        <v>1042</v>
      </c>
      <c r="E468" s="8" t="s">
        <v>212</v>
      </c>
      <c r="F468" t="s">
        <v>272</v>
      </c>
      <c r="G468" t="s">
        <v>504</v>
      </c>
      <c r="H468" t="s">
        <v>1070</v>
      </c>
      <c r="I468" s="2">
        <v>44879.326895914397</v>
      </c>
      <c r="J468" s="2">
        <v>44895</v>
      </c>
      <c r="K468" t="s">
        <v>512</v>
      </c>
    </row>
    <row r="469" spans="1:11">
      <c r="A469">
        <v>468</v>
      </c>
      <c r="B469">
        <v>171354645</v>
      </c>
      <c r="C469" t="s">
        <v>357</v>
      </c>
      <c r="D469" t="s">
        <v>357</v>
      </c>
      <c r="E469" s="8" t="s">
        <v>212</v>
      </c>
      <c r="F469" t="s">
        <v>272</v>
      </c>
      <c r="G469" t="s">
        <v>491</v>
      </c>
      <c r="H469" t="s">
        <v>1071</v>
      </c>
      <c r="I469" s="2">
        <v>44879.329236921301</v>
      </c>
      <c r="J469" s="2">
        <v>44892</v>
      </c>
      <c r="K469" t="s">
        <v>512</v>
      </c>
    </row>
    <row r="470" spans="1:11">
      <c r="A470">
        <v>469</v>
      </c>
      <c r="B470">
        <v>168101243</v>
      </c>
      <c r="C470" t="s">
        <v>320</v>
      </c>
      <c r="D470" t="s">
        <v>320</v>
      </c>
      <c r="E470" s="8" t="s">
        <v>224</v>
      </c>
      <c r="F470" t="s">
        <v>1108</v>
      </c>
      <c r="G470" t="s">
        <v>491</v>
      </c>
      <c r="H470" t="s">
        <v>1071</v>
      </c>
      <c r="I470" s="2">
        <v>44879.508464699102</v>
      </c>
      <c r="J470" s="2">
        <v>44906</v>
      </c>
      <c r="K470" t="s">
        <v>512</v>
      </c>
    </row>
    <row r="471" spans="1:11">
      <c r="A471">
        <v>470</v>
      </c>
      <c r="B471">
        <v>168101252</v>
      </c>
      <c r="C471" t="s">
        <v>357</v>
      </c>
      <c r="D471" t="s">
        <v>357</v>
      </c>
      <c r="E471" s="8" t="s">
        <v>739</v>
      </c>
      <c r="F471" t="s">
        <v>272</v>
      </c>
      <c r="G471" t="s">
        <v>491</v>
      </c>
      <c r="H471" t="s">
        <v>1071</v>
      </c>
      <c r="I471" s="2">
        <v>44879.519710567103</v>
      </c>
      <c r="J471" s="2">
        <v>44907</v>
      </c>
      <c r="K471" t="s">
        <v>512</v>
      </c>
    </row>
    <row r="472" spans="1:11">
      <c r="A472">
        <v>471</v>
      </c>
      <c r="B472">
        <v>166841917</v>
      </c>
      <c r="C472" t="s">
        <v>678</v>
      </c>
      <c r="D472" t="s">
        <v>678</v>
      </c>
      <c r="E472" s="8" t="s">
        <v>108</v>
      </c>
      <c r="F472" t="s">
        <v>274</v>
      </c>
      <c r="G472" t="s">
        <v>779</v>
      </c>
      <c r="H472" t="s">
        <v>1070</v>
      </c>
      <c r="I472" s="2">
        <v>44879.607288657397</v>
      </c>
      <c r="J472" s="2">
        <v>44895</v>
      </c>
      <c r="K472" t="s">
        <v>511</v>
      </c>
    </row>
    <row r="473" spans="1:11">
      <c r="A473">
        <v>472</v>
      </c>
      <c r="B473">
        <v>166841913</v>
      </c>
      <c r="C473" t="s">
        <v>984</v>
      </c>
      <c r="D473" t="s">
        <v>1042</v>
      </c>
      <c r="E473" s="8" t="s">
        <v>108</v>
      </c>
      <c r="F473" t="s">
        <v>274</v>
      </c>
      <c r="G473" t="s">
        <v>779</v>
      </c>
      <c r="H473" t="s">
        <v>1070</v>
      </c>
      <c r="I473" s="2">
        <v>44879.6255227199</v>
      </c>
      <c r="J473" s="2">
        <v>44895</v>
      </c>
      <c r="K473" t="s">
        <v>511</v>
      </c>
    </row>
    <row r="474" spans="1:11">
      <c r="A474">
        <v>473</v>
      </c>
      <c r="B474">
        <v>166841919</v>
      </c>
      <c r="C474" t="s">
        <v>678</v>
      </c>
      <c r="D474" t="s">
        <v>678</v>
      </c>
      <c r="E474" s="8" t="s">
        <v>110</v>
      </c>
      <c r="F474" t="s">
        <v>272</v>
      </c>
      <c r="G474" t="s">
        <v>779</v>
      </c>
      <c r="H474" t="s">
        <v>1070</v>
      </c>
      <c r="I474" s="2">
        <v>44879.651979826398</v>
      </c>
      <c r="J474" s="2">
        <v>44895</v>
      </c>
      <c r="K474" t="s">
        <v>511</v>
      </c>
    </row>
    <row r="475" spans="1:11">
      <c r="A475">
        <v>474</v>
      </c>
      <c r="B475">
        <v>164915589</v>
      </c>
      <c r="C475" t="s">
        <v>678</v>
      </c>
      <c r="D475" t="s">
        <v>678</v>
      </c>
      <c r="E475" s="8" t="s">
        <v>113</v>
      </c>
      <c r="F475" t="s">
        <v>1108</v>
      </c>
      <c r="G475" t="s">
        <v>779</v>
      </c>
      <c r="H475" t="s">
        <v>1070</v>
      </c>
      <c r="I475" s="2">
        <v>44879.652768205997</v>
      </c>
      <c r="J475" s="2">
        <v>44895</v>
      </c>
      <c r="K475" t="s">
        <v>511</v>
      </c>
    </row>
    <row r="476" spans="1:11">
      <c r="A476">
        <v>475</v>
      </c>
      <c r="B476">
        <v>151462943</v>
      </c>
      <c r="C476" t="s">
        <v>332</v>
      </c>
      <c r="D476" t="s">
        <v>1068</v>
      </c>
      <c r="E476" s="8" t="s">
        <v>205</v>
      </c>
      <c r="F476" t="s">
        <v>273</v>
      </c>
      <c r="G476" t="s">
        <v>504</v>
      </c>
      <c r="H476" t="s">
        <v>1070</v>
      </c>
      <c r="I476" s="2">
        <v>44879.772265428197</v>
      </c>
      <c r="J476" s="2">
        <v>44895</v>
      </c>
      <c r="K476" t="s">
        <v>512</v>
      </c>
    </row>
    <row r="477" spans="1:11">
      <c r="A477">
        <v>476</v>
      </c>
      <c r="B477">
        <v>166842331</v>
      </c>
      <c r="C477" t="s">
        <v>311</v>
      </c>
      <c r="D477" t="s">
        <v>1068</v>
      </c>
      <c r="E477" s="8" t="s">
        <v>165</v>
      </c>
      <c r="F477" t="s">
        <v>278</v>
      </c>
      <c r="G477" t="s">
        <v>779</v>
      </c>
      <c r="H477" t="s">
        <v>1070</v>
      </c>
      <c r="I477" s="2">
        <v>44880.336712465301</v>
      </c>
      <c r="J477" s="2">
        <v>44943</v>
      </c>
      <c r="K477" t="s">
        <v>512</v>
      </c>
    </row>
    <row r="478" spans="1:11">
      <c r="A478">
        <v>477</v>
      </c>
      <c r="B478">
        <v>166841775</v>
      </c>
      <c r="C478" t="s">
        <v>365</v>
      </c>
      <c r="D478" t="s">
        <v>306</v>
      </c>
      <c r="E478" s="8" t="s">
        <v>164</v>
      </c>
      <c r="F478" t="s">
        <v>278</v>
      </c>
      <c r="I478" s="2">
        <v>44880.340474155098</v>
      </c>
      <c r="J478" s="2">
        <v>44937</v>
      </c>
      <c r="K478" t="s">
        <v>512</v>
      </c>
    </row>
    <row r="479" spans="1:11">
      <c r="A479">
        <v>478</v>
      </c>
      <c r="B479">
        <v>166841783</v>
      </c>
      <c r="C479" t="s">
        <v>306</v>
      </c>
      <c r="D479" t="s">
        <v>306</v>
      </c>
      <c r="E479" s="8" t="s">
        <v>165</v>
      </c>
      <c r="F479" t="s">
        <v>278</v>
      </c>
      <c r="G479" t="s">
        <v>779</v>
      </c>
      <c r="H479" t="s">
        <v>1070</v>
      </c>
      <c r="I479" s="2">
        <v>44880.3428478356</v>
      </c>
      <c r="J479" s="2">
        <v>44942</v>
      </c>
      <c r="K479" t="s">
        <v>512</v>
      </c>
    </row>
    <row r="480" spans="1:11">
      <c r="A480">
        <v>479</v>
      </c>
      <c r="B480">
        <v>166841785</v>
      </c>
      <c r="C480" t="s">
        <v>320</v>
      </c>
      <c r="D480" t="s">
        <v>320</v>
      </c>
      <c r="E480" s="8" t="s">
        <v>164</v>
      </c>
      <c r="F480" t="s">
        <v>278</v>
      </c>
      <c r="I480" s="2">
        <v>44880.347336770799</v>
      </c>
      <c r="J480" s="2">
        <v>44939</v>
      </c>
      <c r="K480" t="s">
        <v>512</v>
      </c>
    </row>
    <row r="481" spans="1:11">
      <c r="A481">
        <v>480</v>
      </c>
      <c r="B481">
        <v>166842291</v>
      </c>
      <c r="C481" t="s">
        <v>678</v>
      </c>
      <c r="D481" t="s">
        <v>678</v>
      </c>
      <c r="E481" s="8" t="s">
        <v>165</v>
      </c>
      <c r="F481" t="s">
        <v>278</v>
      </c>
      <c r="G481" t="s">
        <v>779</v>
      </c>
      <c r="H481" t="s">
        <v>1070</v>
      </c>
      <c r="I481" s="2">
        <v>44880.3493851042</v>
      </c>
      <c r="J481" s="2">
        <v>44944</v>
      </c>
      <c r="K481" t="s">
        <v>512</v>
      </c>
    </row>
    <row r="482" spans="1:11">
      <c r="A482">
        <v>481</v>
      </c>
      <c r="B482">
        <v>166841781</v>
      </c>
      <c r="C482" t="s">
        <v>357</v>
      </c>
      <c r="D482" t="s">
        <v>357</v>
      </c>
      <c r="E482" s="8" t="s">
        <v>164</v>
      </c>
      <c r="F482" t="s">
        <v>278</v>
      </c>
      <c r="I482" s="2">
        <v>44880.361554548603</v>
      </c>
      <c r="J482" s="2">
        <v>44941</v>
      </c>
      <c r="K482" t="s">
        <v>512</v>
      </c>
    </row>
    <row r="483" spans="1:11">
      <c r="A483">
        <v>482</v>
      </c>
      <c r="B483">
        <v>166841777</v>
      </c>
      <c r="C483" t="s">
        <v>678</v>
      </c>
      <c r="D483" t="s">
        <v>678</v>
      </c>
      <c r="E483" s="8" t="s">
        <v>164</v>
      </c>
      <c r="F483" t="s">
        <v>278</v>
      </c>
      <c r="I483" s="2">
        <v>44880.364395138902</v>
      </c>
      <c r="J483" s="2">
        <v>44940</v>
      </c>
      <c r="K483" t="s">
        <v>512</v>
      </c>
    </row>
    <row r="484" spans="1:11">
      <c r="A484">
        <v>483</v>
      </c>
      <c r="B484">
        <v>166841773</v>
      </c>
      <c r="C484" t="s">
        <v>320</v>
      </c>
      <c r="D484" t="s">
        <v>320</v>
      </c>
      <c r="E484" s="8" t="s">
        <v>164</v>
      </c>
      <c r="F484" t="s">
        <v>278</v>
      </c>
      <c r="I484" s="2">
        <v>44880.370730243099</v>
      </c>
      <c r="J484" s="2">
        <v>44938</v>
      </c>
      <c r="K484" t="s">
        <v>512</v>
      </c>
    </row>
    <row r="485" spans="1:11">
      <c r="A485">
        <v>484</v>
      </c>
      <c r="B485">
        <v>166841947</v>
      </c>
      <c r="C485" t="s">
        <v>303</v>
      </c>
      <c r="D485" t="s">
        <v>303</v>
      </c>
      <c r="E485" s="8" t="s">
        <v>171</v>
      </c>
      <c r="F485" t="s">
        <v>272</v>
      </c>
      <c r="G485" t="s">
        <v>779</v>
      </c>
      <c r="H485" t="s">
        <v>1070</v>
      </c>
      <c r="I485" s="2">
        <v>44880.370730243099</v>
      </c>
      <c r="J485" s="2">
        <v>44951</v>
      </c>
      <c r="K485" t="s">
        <v>512</v>
      </c>
    </row>
    <row r="486" spans="1:11">
      <c r="A486">
        <v>485</v>
      </c>
      <c r="B486">
        <v>166841953</v>
      </c>
      <c r="C486" t="s">
        <v>368</v>
      </c>
      <c r="D486" t="s">
        <v>1068</v>
      </c>
      <c r="E486" s="8" t="s">
        <v>172</v>
      </c>
      <c r="F486" t="s">
        <v>272</v>
      </c>
      <c r="G486" t="s">
        <v>779</v>
      </c>
      <c r="H486" t="s">
        <v>1070</v>
      </c>
      <c r="I486" s="2">
        <v>44880.370730243099</v>
      </c>
      <c r="J486" s="2">
        <v>44952</v>
      </c>
      <c r="K486" t="s">
        <v>512</v>
      </c>
    </row>
    <row r="487" spans="1:11">
      <c r="A487">
        <v>486</v>
      </c>
      <c r="B487">
        <v>166842285</v>
      </c>
      <c r="D487" t="s">
        <v>1108</v>
      </c>
      <c r="E487" s="8" t="s">
        <v>166</v>
      </c>
      <c r="F487" t="s">
        <v>272</v>
      </c>
      <c r="G487" t="s">
        <v>779</v>
      </c>
      <c r="H487" t="s">
        <v>1070</v>
      </c>
      <c r="I487" s="2">
        <v>44880.370730243099</v>
      </c>
      <c r="J487" s="2">
        <v>44947</v>
      </c>
      <c r="K487" t="s">
        <v>512</v>
      </c>
    </row>
    <row r="488" spans="1:11">
      <c r="A488">
        <v>487</v>
      </c>
      <c r="B488">
        <v>166842293</v>
      </c>
      <c r="C488" t="s">
        <v>678</v>
      </c>
      <c r="D488" t="s">
        <v>678</v>
      </c>
      <c r="E488" s="8" t="s">
        <v>169</v>
      </c>
      <c r="F488" t="s">
        <v>274</v>
      </c>
      <c r="G488" t="s">
        <v>779</v>
      </c>
      <c r="H488" t="s">
        <v>1070</v>
      </c>
      <c r="I488" s="2">
        <v>44880.370730243099</v>
      </c>
      <c r="J488" s="2">
        <v>44949</v>
      </c>
      <c r="K488" t="s">
        <v>512</v>
      </c>
    </row>
    <row r="489" spans="1:11">
      <c r="A489">
        <v>488</v>
      </c>
      <c r="B489">
        <v>166842303</v>
      </c>
      <c r="C489" t="s">
        <v>320</v>
      </c>
      <c r="D489" t="s">
        <v>320</v>
      </c>
      <c r="E489" s="8" t="s">
        <v>170</v>
      </c>
      <c r="F489" t="s">
        <v>1108</v>
      </c>
      <c r="G489" t="s">
        <v>779</v>
      </c>
      <c r="H489" t="s">
        <v>1070</v>
      </c>
      <c r="I489" s="2">
        <v>44880.370730243099</v>
      </c>
      <c r="J489" s="2">
        <v>44950</v>
      </c>
      <c r="K489" t="s">
        <v>512</v>
      </c>
    </row>
    <row r="490" spans="1:11">
      <c r="A490">
        <v>489</v>
      </c>
      <c r="B490">
        <v>166842319</v>
      </c>
      <c r="C490" t="s">
        <v>366</v>
      </c>
      <c r="D490" t="s">
        <v>1068</v>
      </c>
      <c r="E490" s="8" t="s">
        <v>166</v>
      </c>
      <c r="F490" t="s">
        <v>272</v>
      </c>
      <c r="G490" t="s">
        <v>779</v>
      </c>
      <c r="H490" t="s">
        <v>1070</v>
      </c>
      <c r="I490" s="2">
        <v>44880.370730243099</v>
      </c>
      <c r="J490" s="2">
        <v>44946</v>
      </c>
      <c r="K490" t="s">
        <v>512</v>
      </c>
    </row>
    <row r="491" spans="1:11">
      <c r="A491">
        <v>490</v>
      </c>
      <c r="B491">
        <v>166842329</v>
      </c>
      <c r="C491" t="s">
        <v>367</v>
      </c>
      <c r="D491" t="s">
        <v>346</v>
      </c>
      <c r="E491" s="8" t="s">
        <v>168</v>
      </c>
      <c r="F491" t="s">
        <v>279</v>
      </c>
      <c r="G491" t="s">
        <v>779</v>
      </c>
      <c r="H491" t="s">
        <v>1070</v>
      </c>
      <c r="I491" s="2">
        <v>44880.370730243099</v>
      </c>
      <c r="J491" s="2">
        <v>44948</v>
      </c>
      <c r="K491" t="s">
        <v>512</v>
      </c>
    </row>
    <row r="492" spans="1:11">
      <c r="A492">
        <v>491</v>
      </c>
      <c r="B492">
        <v>166841739</v>
      </c>
      <c r="C492" t="s">
        <v>329</v>
      </c>
      <c r="D492" t="s">
        <v>1041</v>
      </c>
      <c r="E492" s="8" t="s">
        <v>101</v>
      </c>
      <c r="F492" t="s">
        <v>272</v>
      </c>
      <c r="G492" t="s">
        <v>779</v>
      </c>
      <c r="H492" t="s">
        <v>1070</v>
      </c>
      <c r="I492" s="2">
        <v>44880.402790624998</v>
      </c>
      <c r="J492" s="2">
        <v>44895</v>
      </c>
      <c r="K492" t="s">
        <v>511</v>
      </c>
    </row>
    <row r="493" spans="1:11">
      <c r="A493">
        <v>492</v>
      </c>
      <c r="B493">
        <v>166551439</v>
      </c>
      <c r="C493" t="s">
        <v>320</v>
      </c>
      <c r="D493" t="s">
        <v>320</v>
      </c>
      <c r="E493" s="8" t="s">
        <v>125</v>
      </c>
      <c r="F493" t="s">
        <v>274</v>
      </c>
      <c r="G493" t="s">
        <v>779</v>
      </c>
      <c r="H493" t="s">
        <v>1070</v>
      </c>
      <c r="I493" s="2">
        <v>44880.636540428197</v>
      </c>
      <c r="J493" s="2">
        <v>44914</v>
      </c>
      <c r="K493" t="s">
        <v>511</v>
      </c>
    </row>
    <row r="494" spans="1:11">
      <c r="A494">
        <v>493</v>
      </c>
      <c r="B494">
        <v>168100973</v>
      </c>
      <c r="C494" t="s">
        <v>916</v>
      </c>
      <c r="D494" t="s">
        <v>1042</v>
      </c>
      <c r="E494" s="8" t="s">
        <v>119</v>
      </c>
      <c r="F494" t="s">
        <v>272</v>
      </c>
      <c r="G494" t="s">
        <v>779</v>
      </c>
      <c r="H494" t="s">
        <v>1070</v>
      </c>
      <c r="I494" s="2">
        <v>44880.708144594901</v>
      </c>
      <c r="J494" s="2">
        <v>44900</v>
      </c>
      <c r="K494" t="s">
        <v>511</v>
      </c>
    </row>
    <row r="495" spans="1:11">
      <c r="A495">
        <v>494</v>
      </c>
      <c r="B495">
        <v>168100301</v>
      </c>
      <c r="C495" t="s">
        <v>678</v>
      </c>
      <c r="D495" t="s">
        <v>678</v>
      </c>
      <c r="E495" s="8" t="s">
        <v>120</v>
      </c>
      <c r="F495" t="s">
        <v>274</v>
      </c>
      <c r="G495" t="s">
        <v>779</v>
      </c>
      <c r="H495" t="s">
        <v>1070</v>
      </c>
      <c r="I495" s="2">
        <v>44880.7097327546</v>
      </c>
      <c r="J495" s="2">
        <v>44901</v>
      </c>
      <c r="K495" t="s">
        <v>511</v>
      </c>
    </row>
    <row r="496" spans="1:11">
      <c r="A496">
        <v>495</v>
      </c>
      <c r="B496">
        <v>169597486</v>
      </c>
      <c r="C496" t="s">
        <v>955</v>
      </c>
      <c r="D496" t="s">
        <v>1042</v>
      </c>
      <c r="E496" s="8" t="s">
        <v>119</v>
      </c>
      <c r="F496" t="s">
        <v>272</v>
      </c>
      <c r="G496" t="s">
        <v>779</v>
      </c>
      <c r="H496" t="s">
        <v>1070</v>
      </c>
      <c r="I496" s="2">
        <v>44880.726176006901</v>
      </c>
      <c r="J496" s="2">
        <v>44899</v>
      </c>
      <c r="K496" t="s">
        <v>511</v>
      </c>
    </row>
    <row r="497" spans="1:11">
      <c r="A497">
        <v>496</v>
      </c>
      <c r="B497">
        <v>166553385</v>
      </c>
      <c r="C497" t="s">
        <v>678</v>
      </c>
      <c r="D497" t="s">
        <v>678</v>
      </c>
      <c r="E497" s="8" t="s">
        <v>92</v>
      </c>
      <c r="F497" t="s">
        <v>274</v>
      </c>
      <c r="G497" t="s">
        <v>779</v>
      </c>
      <c r="H497" t="s">
        <v>1070</v>
      </c>
      <c r="I497" s="2">
        <v>44880.795743483803</v>
      </c>
      <c r="J497" s="2">
        <v>44895</v>
      </c>
      <c r="K497" t="s">
        <v>511</v>
      </c>
    </row>
    <row r="498" spans="1:11">
      <c r="A498">
        <v>497</v>
      </c>
      <c r="B498">
        <v>150635320</v>
      </c>
      <c r="C498" t="s">
        <v>938</v>
      </c>
      <c r="D498" t="s">
        <v>401</v>
      </c>
      <c r="E498" s="8" t="s">
        <v>115</v>
      </c>
      <c r="F498" t="s">
        <v>272</v>
      </c>
      <c r="G498" t="s">
        <v>779</v>
      </c>
      <c r="H498" t="s">
        <v>1070</v>
      </c>
      <c r="I498" s="2">
        <v>44880.8112477662</v>
      </c>
      <c r="J498" s="2">
        <v>44895</v>
      </c>
      <c r="K498" t="s">
        <v>511</v>
      </c>
    </row>
    <row r="499" spans="1:11">
      <c r="A499">
        <v>498</v>
      </c>
      <c r="B499">
        <v>156396191</v>
      </c>
      <c r="C499" t="s">
        <v>678</v>
      </c>
      <c r="D499" t="s">
        <v>678</v>
      </c>
      <c r="E499" s="8" t="s">
        <v>219</v>
      </c>
      <c r="F499" t="s">
        <v>1108</v>
      </c>
      <c r="I499" s="2">
        <v>44880.838632025501</v>
      </c>
      <c r="J499" s="2">
        <v>44897</v>
      </c>
      <c r="K499" t="s">
        <v>512</v>
      </c>
    </row>
    <row r="500" spans="1:11">
      <c r="A500">
        <v>499</v>
      </c>
      <c r="B500">
        <v>171790240</v>
      </c>
      <c r="C500" t="s">
        <v>387</v>
      </c>
      <c r="D500" t="s">
        <v>1068</v>
      </c>
      <c r="E500" s="8" t="s">
        <v>115</v>
      </c>
      <c r="F500" t="s">
        <v>272</v>
      </c>
      <c r="G500" t="s">
        <v>779</v>
      </c>
      <c r="H500" t="s">
        <v>1070</v>
      </c>
      <c r="I500" s="2">
        <v>44880.914533761599</v>
      </c>
      <c r="J500" s="2">
        <v>44895</v>
      </c>
      <c r="K500" t="s">
        <v>511</v>
      </c>
    </row>
    <row r="501" spans="1:11">
      <c r="A501">
        <v>500</v>
      </c>
      <c r="B501">
        <v>166553379</v>
      </c>
      <c r="C501" t="s">
        <v>357</v>
      </c>
      <c r="D501" t="s">
        <v>357</v>
      </c>
      <c r="E501" s="8" t="s">
        <v>82</v>
      </c>
      <c r="F501" t="s">
        <v>272</v>
      </c>
      <c r="G501" t="s">
        <v>779</v>
      </c>
      <c r="H501" t="s">
        <v>1070</v>
      </c>
      <c r="I501" s="2">
        <v>44881.035986145798</v>
      </c>
      <c r="J501" s="2">
        <v>44895</v>
      </c>
      <c r="K501" t="s">
        <v>510</v>
      </c>
    </row>
    <row r="502" spans="1:11">
      <c r="A502">
        <v>501</v>
      </c>
      <c r="B502">
        <v>166551777</v>
      </c>
      <c r="D502" t="s">
        <v>1108</v>
      </c>
      <c r="E502" s="8" t="s">
        <v>431</v>
      </c>
      <c r="F502" t="s">
        <v>272</v>
      </c>
      <c r="G502" t="s">
        <v>491</v>
      </c>
      <c r="H502" t="s">
        <v>1071</v>
      </c>
      <c r="I502" s="2">
        <v>44881.541194756901</v>
      </c>
      <c r="J502" s="2">
        <v>44988</v>
      </c>
      <c r="K502" t="s">
        <v>514</v>
      </c>
    </row>
    <row r="503" spans="1:11">
      <c r="A503">
        <v>502</v>
      </c>
      <c r="B503">
        <v>168099668</v>
      </c>
      <c r="C503" t="s">
        <v>357</v>
      </c>
      <c r="D503" t="s">
        <v>357</v>
      </c>
      <c r="E503" s="8"/>
      <c r="F503" t="s">
        <v>272</v>
      </c>
      <c r="G503" t="s">
        <v>491</v>
      </c>
      <c r="H503" t="s">
        <v>1071</v>
      </c>
      <c r="I503" s="2">
        <v>44881.541194756901</v>
      </c>
      <c r="J503" s="2">
        <v>44989</v>
      </c>
      <c r="K503" t="s">
        <v>514</v>
      </c>
    </row>
    <row r="504" spans="1:11">
      <c r="A504">
        <v>503</v>
      </c>
      <c r="B504">
        <v>157994264</v>
      </c>
      <c r="C504" t="s">
        <v>678</v>
      </c>
      <c r="D504" t="s">
        <v>678</v>
      </c>
      <c r="E504" s="8" t="s">
        <v>740</v>
      </c>
      <c r="F504" t="s">
        <v>1108</v>
      </c>
      <c r="G504" t="s">
        <v>779</v>
      </c>
      <c r="H504" t="s">
        <v>1070</v>
      </c>
      <c r="I504" s="2">
        <v>44881.542029247699</v>
      </c>
      <c r="J504" s="2">
        <v>44895</v>
      </c>
      <c r="K504" t="s">
        <v>511</v>
      </c>
    </row>
    <row r="505" spans="1:11">
      <c r="A505">
        <v>504</v>
      </c>
      <c r="B505">
        <v>166552671</v>
      </c>
      <c r="C505" t="s">
        <v>357</v>
      </c>
      <c r="D505" t="s">
        <v>357</v>
      </c>
      <c r="E505" s="8" t="s">
        <v>61</v>
      </c>
      <c r="F505" t="s">
        <v>272</v>
      </c>
      <c r="G505" t="s">
        <v>779</v>
      </c>
      <c r="H505" t="s">
        <v>1070</v>
      </c>
      <c r="I505" s="2">
        <v>44881.597021261601</v>
      </c>
      <c r="J505" s="2">
        <v>44895</v>
      </c>
      <c r="K505" t="s">
        <v>510</v>
      </c>
    </row>
    <row r="506" spans="1:11">
      <c r="A506">
        <v>505</v>
      </c>
      <c r="B506">
        <v>166553411</v>
      </c>
      <c r="C506" t="s">
        <v>357</v>
      </c>
      <c r="D506" t="s">
        <v>357</v>
      </c>
      <c r="E506" s="8" t="s">
        <v>61</v>
      </c>
      <c r="F506" t="s">
        <v>272</v>
      </c>
      <c r="G506" t="s">
        <v>779</v>
      </c>
      <c r="H506" t="s">
        <v>1070</v>
      </c>
      <c r="I506" s="2">
        <v>44881.598487419004</v>
      </c>
      <c r="J506" s="2">
        <v>44895</v>
      </c>
      <c r="K506" t="s">
        <v>510</v>
      </c>
    </row>
    <row r="507" spans="1:11">
      <c r="A507">
        <v>506</v>
      </c>
      <c r="B507">
        <v>166551319</v>
      </c>
      <c r="C507" t="s">
        <v>985</v>
      </c>
      <c r="D507" t="s">
        <v>1042</v>
      </c>
      <c r="E507" s="8" t="s">
        <v>484</v>
      </c>
      <c r="F507" t="s">
        <v>272</v>
      </c>
      <c r="G507" t="s">
        <v>499</v>
      </c>
      <c r="H507" t="s">
        <v>1070</v>
      </c>
      <c r="I507" s="2">
        <v>44881.644874571801</v>
      </c>
      <c r="J507" s="2">
        <v>45042</v>
      </c>
      <c r="K507" t="s">
        <v>514</v>
      </c>
    </row>
    <row r="508" spans="1:11">
      <c r="A508">
        <v>507</v>
      </c>
      <c r="B508">
        <v>166551705</v>
      </c>
      <c r="C508" t="s">
        <v>357</v>
      </c>
      <c r="D508" t="s">
        <v>357</v>
      </c>
      <c r="E508" s="8" t="s">
        <v>417</v>
      </c>
      <c r="F508" t="s">
        <v>274</v>
      </c>
      <c r="G508" t="s">
        <v>491</v>
      </c>
      <c r="H508" t="s">
        <v>1071</v>
      </c>
      <c r="I508" s="2">
        <v>44881.779176354197</v>
      </c>
      <c r="J508" s="2">
        <v>44941</v>
      </c>
      <c r="K508" t="s">
        <v>512</v>
      </c>
    </row>
    <row r="509" spans="1:11">
      <c r="A509">
        <v>508</v>
      </c>
      <c r="B509">
        <v>166551669</v>
      </c>
      <c r="C509" t="s">
        <v>320</v>
      </c>
      <c r="D509" t="s">
        <v>320</v>
      </c>
      <c r="E509" s="8" t="s">
        <v>413</v>
      </c>
      <c r="F509" t="s">
        <v>274</v>
      </c>
      <c r="G509" t="s">
        <v>491</v>
      </c>
      <c r="H509" t="s">
        <v>1071</v>
      </c>
      <c r="I509" s="2">
        <v>44881.783374421299</v>
      </c>
      <c r="J509" s="2">
        <v>44940</v>
      </c>
      <c r="K509" t="s">
        <v>512</v>
      </c>
    </row>
    <row r="510" spans="1:11">
      <c r="A510">
        <v>509</v>
      </c>
      <c r="B510">
        <v>166551703</v>
      </c>
      <c r="C510" t="s">
        <v>956</v>
      </c>
      <c r="D510" t="s">
        <v>1042</v>
      </c>
      <c r="E510" s="8"/>
      <c r="F510" t="s">
        <v>274</v>
      </c>
      <c r="G510" t="s">
        <v>491</v>
      </c>
      <c r="H510" t="s">
        <v>1071</v>
      </c>
      <c r="I510" s="2">
        <v>44881.791876157396</v>
      </c>
      <c r="J510" s="2">
        <v>44939</v>
      </c>
      <c r="K510" t="s">
        <v>512</v>
      </c>
    </row>
    <row r="511" spans="1:11">
      <c r="A511">
        <v>510</v>
      </c>
      <c r="B511">
        <v>166551779</v>
      </c>
      <c r="C511" t="s">
        <v>357</v>
      </c>
      <c r="D511" t="s">
        <v>357</v>
      </c>
      <c r="E511" s="8" t="s">
        <v>431</v>
      </c>
      <c r="F511" t="s">
        <v>272</v>
      </c>
      <c r="G511" t="s">
        <v>491</v>
      </c>
      <c r="H511" t="s">
        <v>1071</v>
      </c>
      <c r="I511" s="2">
        <v>44882.674219872701</v>
      </c>
      <c r="J511" s="2">
        <v>44981</v>
      </c>
      <c r="K511" t="s">
        <v>514</v>
      </c>
    </row>
    <row r="512" spans="1:11">
      <c r="A512">
        <v>511</v>
      </c>
      <c r="B512">
        <v>166552665</v>
      </c>
      <c r="C512" t="s">
        <v>321</v>
      </c>
      <c r="D512" t="s">
        <v>1068</v>
      </c>
      <c r="E512" s="8" t="s">
        <v>86</v>
      </c>
      <c r="F512" t="s">
        <v>1108</v>
      </c>
      <c r="G512" t="s">
        <v>779</v>
      </c>
      <c r="H512" t="s">
        <v>1070</v>
      </c>
      <c r="I512" s="2">
        <v>44882.681254016199</v>
      </c>
      <c r="J512" s="2">
        <v>44895</v>
      </c>
      <c r="K512" t="s">
        <v>510</v>
      </c>
    </row>
    <row r="513" spans="1:11">
      <c r="A513">
        <v>512</v>
      </c>
      <c r="B513">
        <v>166551449</v>
      </c>
      <c r="C513" t="s">
        <v>678</v>
      </c>
      <c r="D513" t="s">
        <v>678</v>
      </c>
      <c r="E513" s="8" t="s">
        <v>126</v>
      </c>
      <c r="F513" t="s">
        <v>272</v>
      </c>
      <c r="G513" t="s">
        <v>779</v>
      </c>
      <c r="H513" t="s">
        <v>1070</v>
      </c>
      <c r="I513" s="2">
        <v>44882.7061175579</v>
      </c>
      <c r="J513" s="2">
        <v>44915</v>
      </c>
      <c r="K513" t="s">
        <v>511</v>
      </c>
    </row>
    <row r="514" spans="1:11">
      <c r="A514">
        <v>513</v>
      </c>
      <c r="B514">
        <v>166551435</v>
      </c>
      <c r="C514" t="s">
        <v>678</v>
      </c>
      <c r="D514" t="s">
        <v>678</v>
      </c>
      <c r="E514" s="8" t="s">
        <v>127</v>
      </c>
      <c r="F514" t="s">
        <v>272</v>
      </c>
      <c r="G514" t="s">
        <v>779</v>
      </c>
      <c r="H514" t="s">
        <v>1070</v>
      </c>
      <c r="I514" s="2">
        <v>44882.733667442102</v>
      </c>
      <c r="J514" s="2">
        <v>44916</v>
      </c>
      <c r="K514" t="s">
        <v>511</v>
      </c>
    </row>
    <row r="515" spans="1:11">
      <c r="A515">
        <v>514</v>
      </c>
      <c r="B515">
        <v>166553361</v>
      </c>
      <c r="C515" t="s">
        <v>986</v>
      </c>
      <c r="D515" t="s">
        <v>1042</v>
      </c>
      <c r="E515" s="8" t="s">
        <v>94</v>
      </c>
      <c r="F515" t="s">
        <v>272</v>
      </c>
      <c r="G515" t="s">
        <v>779</v>
      </c>
      <c r="H515" t="s">
        <v>1070</v>
      </c>
      <c r="I515" s="2">
        <v>44882.779308680598</v>
      </c>
      <c r="J515" s="2">
        <v>44895</v>
      </c>
      <c r="K515" t="s">
        <v>511</v>
      </c>
    </row>
    <row r="516" spans="1:11">
      <c r="A516">
        <v>515</v>
      </c>
      <c r="B516">
        <v>166552587</v>
      </c>
      <c r="C516" t="s">
        <v>327</v>
      </c>
      <c r="D516" t="s">
        <v>363</v>
      </c>
      <c r="E516" s="8" t="s">
        <v>94</v>
      </c>
      <c r="F516" t="s">
        <v>272</v>
      </c>
      <c r="G516" t="s">
        <v>779</v>
      </c>
      <c r="H516" t="s">
        <v>1070</v>
      </c>
      <c r="I516" s="2">
        <v>44882.787662349503</v>
      </c>
      <c r="J516" s="2">
        <v>44895</v>
      </c>
      <c r="K516" t="s">
        <v>511</v>
      </c>
    </row>
    <row r="517" spans="1:11">
      <c r="A517">
        <v>516</v>
      </c>
      <c r="B517">
        <v>166552679</v>
      </c>
      <c r="C517" t="s">
        <v>328</v>
      </c>
      <c r="D517" t="s">
        <v>1068</v>
      </c>
      <c r="E517" s="8" t="s">
        <v>96</v>
      </c>
      <c r="F517" t="s">
        <v>273</v>
      </c>
      <c r="G517" t="s">
        <v>779</v>
      </c>
      <c r="H517" t="s">
        <v>1070</v>
      </c>
      <c r="I517" s="2">
        <v>44882.789977696797</v>
      </c>
      <c r="J517" s="2">
        <v>44895</v>
      </c>
      <c r="K517" t="s">
        <v>511</v>
      </c>
    </row>
    <row r="518" spans="1:11">
      <c r="A518">
        <v>517</v>
      </c>
      <c r="B518">
        <v>169596484</v>
      </c>
      <c r="C518" t="s">
        <v>923</v>
      </c>
      <c r="D518" t="s">
        <v>1068</v>
      </c>
      <c r="E518" s="8" t="s">
        <v>424</v>
      </c>
      <c r="F518" t="s">
        <v>272</v>
      </c>
      <c r="G518" t="s">
        <v>491</v>
      </c>
      <c r="H518" t="s">
        <v>1071</v>
      </c>
      <c r="I518" s="2">
        <v>44882.811536192101</v>
      </c>
      <c r="J518" s="2">
        <v>44956</v>
      </c>
      <c r="K518" t="s">
        <v>513</v>
      </c>
    </row>
    <row r="519" spans="1:11">
      <c r="A519">
        <v>518</v>
      </c>
      <c r="B519">
        <v>166552573</v>
      </c>
      <c r="C519" t="s">
        <v>357</v>
      </c>
      <c r="D519" t="s">
        <v>357</v>
      </c>
      <c r="E519" s="8" t="s">
        <v>88</v>
      </c>
      <c r="F519" t="s">
        <v>279</v>
      </c>
      <c r="G519" t="s">
        <v>779</v>
      </c>
      <c r="H519" t="s">
        <v>1070</v>
      </c>
      <c r="I519" s="2">
        <v>44882.859936307897</v>
      </c>
      <c r="J519" s="2">
        <v>44895</v>
      </c>
      <c r="K519" t="s">
        <v>510</v>
      </c>
    </row>
    <row r="520" spans="1:11">
      <c r="A520">
        <v>519</v>
      </c>
      <c r="B520">
        <v>166553409</v>
      </c>
      <c r="C520" t="s">
        <v>482</v>
      </c>
      <c r="D520" t="s">
        <v>1068</v>
      </c>
      <c r="E520" s="8" t="s">
        <v>61</v>
      </c>
      <c r="F520" t="s">
        <v>272</v>
      </c>
      <c r="G520" t="s">
        <v>779</v>
      </c>
      <c r="H520" t="s">
        <v>1070</v>
      </c>
      <c r="I520" s="2">
        <v>44882.861260729202</v>
      </c>
      <c r="J520" s="2">
        <v>44895</v>
      </c>
      <c r="K520" t="s">
        <v>510</v>
      </c>
    </row>
    <row r="521" spans="1:11">
      <c r="A521">
        <v>520</v>
      </c>
      <c r="B521">
        <v>166557681</v>
      </c>
      <c r="C521" t="s">
        <v>308</v>
      </c>
      <c r="D521" t="s">
        <v>1042</v>
      </c>
      <c r="E521" s="8" t="s">
        <v>61</v>
      </c>
      <c r="F521" t="s">
        <v>272</v>
      </c>
      <c r="G521" t="s">
        <v>779</v>
      </c>
      <c r="H521" t="s">
        <v>1070</v>
      </c>
      <c r="I521" s="2">
        <v>44882.862637002298</v>
      </c>
      <c r="J521" s="2">
        <v>44895</v>
      </c>
      <c r="K521" t="s">
        <v>510</v>
      </c>
    </row>
    <row r="522" spans="1:11">
      <c r="A522">
        <v>521</v>
      </c>
      <c r="B522">
        <v>166553369</v>
      </c>
      <c r="C522" t="s">
        <v>309</v>
      </c>
      <c r="D522" t="s">
        <v>1068</v>
      </c>
      <c r="E522" s="8" t="s">
        <v>61</v>
      </c>
      <c r="F522" t="s">
        <v>272</v>
      </c>
      <c r="G522" t="s">
        <v>779</v>
      </c>
      <c r="H522" t="s">
        <v>1070</v>
      </c>
      <c r="I522" s="2">
        <v>44882.863823993102</v>
      </c>
      <c r="J522" s="2">
        <v>44895</v>
      </c>
      <c r="K522" t="s">
        <v>510</v>
      </c>
    </row>
    <row r="523" spans="1:11">
      <c r="A523">
        <v>522</v>
      </c>
      <c r="B523">
        <v>166553397</v>
      </c>
      <c r="C523" t="s">
        <v>357</v>
      </c>
      <c r="D523" t="s">
        <v>357</v>
      </c>
      <c r="E523" s="8" t="s">
        <v>61</v>
      </c>
      <c r="F523" t="s">
        <v>272</v>
      </c>
      <c r="G523" t="s">
        <v>779</v>
      </c>
      <c r="H523" t="s">
        <v>1070</v>
      </c>
      <c r="I523" s="2">
        <v>44882.865854548603</v>
      </c>
      <c r="J523" s="2">
        <v>44895</v>
      </c>
      <c r="K523" t="s">
        <v>510</v>
      </c>
    </row>
    <row r="524" spans="1:11">
      <c r="A524">
        <v>523</v>
      </c>
      <c r="B524">
        <v>166842777</v>
      </c>
      <c r="C524" t="s">
        <v>357</v>
      </c>
      <c r="D524" t="s">
        <v>357</v>
      </c>
      <c r="E524" s="8" t="s">
        <v>741</v>
      </c>
      <c r="F524" t="s">
        <v>272</v>
      </c>
      <c r="G524" t="s">
        <v>779</v>
      </c>
      <c r="H524" t="s">
        <v>1070</v>
      </c>
      <c r="I524" s="2">
        <v>44882.933783067099</v>
      </c>
      <c r="J524" s="2">
        <v>44895</v>
      </c>
      <c r="K524" t="s">
        <v>510</v>
      </c>
    </row>
    <row r="525" spans="1:11">
      <c r="A525">
        <v>524</v>
      </c>
      <c r="B525">
        <v>166842793</v>
      </c>
      <c r="C525" t="s">
        <v>678</v>
      </c>
      <c r="D525" t="s">
        <v>678</v>
      </c>
      <c r="E525" s="8" t="s">
        <v>46</v>
      </c>
      <c r="F525" t="s">
        <v>275</v>
      </c>
      <c r="G525" t="s">
        <v>779</v>
      </c>
      <c r="H525" t="s">
        <v>1070</v>
      </c>
      <c r="I525" s="2">
        <v>44882.935922766199</v>
      </c>
      <c r="J525" s="2">
        <v>44895</v>
      </c>
      <c r="K525" t="s">
        <v>510</v>
      </c>
    </row>
    <row r="526" spans="1:11">
      <c r="A526">
        <v>525</v>
      </c>
      <c r="B526">
        <v>166842773</v>
      </c>
      <c r="C526" t="s">
        <v>357</v>
      </c>
      <c r="D526" t="s">
        <v>357</v>
      </c>
      <c r="E526" s="8" t="s">
        <v>45</v>
      </c>
      <c r="F526" t="s">
        <v>272</v>
      </c>
      <c r="G526" t="s">
        <v>779</v>
      </c>
      <c r="H526" t="s">
        <v>1070</v>
      </c>
      <c r="I526" s="2">
        <v>44882.938041169</v>
      </c>
      <c r="J526" s="2">
        <v>44895</v>
      </c>
      <c r="K526" t="s">
        <v>509</v>
      </c>
    </row>
    <row r="527" spans="1:11">
      <c r="A527">
        <v>526</v>
      </c>
      <c r="B527">
        <v>166842771</v>
      </c>
      <c r="C527" t="s">
        <v>1029</v>
      </c>
      <c r="D527" t="s">
        <v>363</v>
      </c>
      <c r="E527" s="8" t="s">
        <v>741</v>
      </c>
      <c r="F527" t="s">
        <v>272</v>
      </c>
      <c r="G527" t="s">
        <v>779</v>
      </c>
      <c r="H527" t="s">
        <v>1070</v>
      </c>
      <c r="I527" s="2">
        <v>44882.939653784699</v>
      </c>
      <c r="J527" s="2">
        <v>44895</v>
      </c>
      <c r="K527" t="s">
        <v>510</v>
      </c>
    </row>
    <row r="528" spans="1:11">
      <c r="A528">
        <v>527</v>
      </c>
      <c r="B528">
        <v>166842781</v>
      </c>
      <c r="C528" t="s">
        <v>357</v>
      </c>
      <c r="D528" t="s">
        <v>357</v>
      </c>
      <c r="E528" s="8" t="s">
        <v>45</v>
      </c>
      <c r="F528" t="s">
        <v>272</v>
      </c>
      <c r="G528" t="s">
        <v>779</v>
      </c>
      <c r="H528" t="s">
        <v>1070</v>
      </c>
      <c r="I528" s="2">
        <v>44882.940951886601</v>
      </c>
      <c r="J528" s="2">
        <v>44895</v>
      </c>
      <c r="K528" t="s">
        <v>509</v>
      </c>
    </row>
    <row r="529" spans="1:11">
      <c r="A529">
        <v>528</v>
      </c>
      <c r="B529">
        <v>171634564</v>
      </c>
      <c r="C529" t="s">
        <v>678</v>
      </c>
      <c r="D529" t="s">
        <v>678</v>
      </c>
      <c r="E529" s="8" t="s">
        <v>46</v>
      </c>
      <c r="F529" t="s">
        <v>275</v>
      </c>
      <c r="G529" t="s">
        <v>779</v>
      </c>
      <c r="H529" t="s">
        <v>1070</v>
      </c>
      <c r="I529" s="2">
        <v>44882.942868946797</v>
      </c>
      <c r="J529" s="2">
        <v>44895</v>
      </c>
      <c r="K529" t="s">
        <v>510</v>
      </c>
    </row>
    <row r="530" spans="1:11">
      <c r="A530">
        <v>529</v>
      </c>
      <c r="B530">
        <v>166842791</v>
      </c>
      <c r="C530" t="s">
        <v>678</v>
      </c>
      <c r="D530" t="s">
        <v>678</v>
      </c>
      <c r="E530" s="8" t="s">
        <v>46</v>
      </c>
      <c r="F530" t="s">
        <v>275</v>
      </c>
      <c r="G530" t="s">
        <v>779</v>
      </c>
      <c r="H530" t="s">
        <v>1070</v>
      </c>
      <c r="I530" s="2">
        <v>44882.944968136602</v>
      </c>
      <c r="J530" s="2">
        <v>44895</v>
      </c>
      <c r="K530" t="s">
        <v>510</v>
      </c>
    </row>
    <row r="531" spans="1:11">
      <c r="A531">
        <v>530</v>
      </c>
      <c r="B531">
        <v>166842819</v>
      </c>
      <c r="C531" t="s">
        <v>357</v>
      </c>
      <c r="D531" t="s">
        <v>357</v>
      </c>
      <c r="E531" s="8" t="s">
        <v>46</v>
      </c>
      <c r="F531" t="s">
        <v>275</v>
      </c>
      <c r="G531" t="s">
        <v>779</v>
      </c>
      <c r="H531" t="s">
        <v>1070</v>
      </c>
      <c r="I531" s="2">
        <v>44882.947744293997</v>
      </c>
      <c r="J531" s="2">
        <v>44895</v>
      </c>
      <c r="K531" t="s">
        <v>510</v>
      </c>
    </row>
    <row r="532" spans="1:11">
      <c r="A532">
        <v>531</v>
      </c>
      <c r="B532">
        <v>143026228</v>
      </c>
      <c r="C532" t="s">
        <v>973</v>
      </c>
      <c r="D532" t="s">
        <v>363</v>
      </c>
      <c r="E532" s="8" t="s">
        <v>789</v>
      </c>
      <c r="F532" t="s">
        <v>272</v>
      </c>
      <c r="G532" t="s">
        <v>779</v>
      </c>
      <c r="H532" t="s">
        <v>1070</v>
      </c>
      <c r="I532" s="2">
        <v>44883.059267824101</v>
      </c>
      <c r="J532" s="2">
        <v>44939</v>
      </c>
      <c r="K532" t="s">
        <v>511</v>
      </c>
    </row>
    <row r="533" spans="1:11">
      <c r="A533">
        <v>532</v>
      </c>
      <c r="B533">
        <v>168100985</v>
      </c>
      <c r="C533" t="s">
        <v>351</v>
      </c>
      <c r="D533" t="s">
        <v>1068</v>
      </c>
      <c r="E533" s="8" t="s">
        <v>134</v>
      </c>
      <c r="F533" t="s">
        <v>272</v>
      </c>
      <c r="G533" t="s">
        <v>779</v>
      </c>
      <c r="H533" t="s">
        <v>1070</v>
      </c>
      <c r="I533" s="2">
        <v>44883.0620033218</v>
      </c>
      <c r="J533" s="2">
        <v>44941</v>
      </c>
      <c r="K533" t="s">
        <v>511</v>
      </c>
    </row>
    <row r="534" spans="1:11">
      <c r="A534">
        <v>533</v>
      </c>
      <c r="B534">
        <v>157993280</v>
      </c>
      <c r="C534" t="s">
        <v>349</v>
      </c>
      <c r="D534" t="s">
        <v>1068</v>
      </c>
      <c r="E534" s="8" t="s">
        <v>789</v>
      </c>
      <c r="F534" t="s">
        <v>272</v>
      </c>
      <c r="G534" t="s">
        <v>779</v>
      </c>
      <c r="H534" t="s">
        <v>1070</v>
      </c>
      <c r="I534" s="2">
        <v>44883.068428275503</v>
      </c>
      <c r="J534" s="2">
        <v>44940</v>
      </c>
      <c r="K534" t="s">
        <v>511</v>
      </c>
    </row>
    <row r="535" spans="1:11">
      <c r="A535">
        <v>534</v>
      </c>
      <c r="B535">
        <v>166841417</v>
      </c>
      <c r="C535" t="s">
        <v>320</v>
      </c>
      <c r="D535" t="s">
        <v>320</v>
      </c>
      <c r="E535" s="8" t="s">
        <v>36</v>
      </c>
      <c r="F535" t="s">
        <v>1108</v>
      </c>
      <c r="G535" t="s">
        <v>779</v>
      </c>
      <c r="H535" t="s">
        <v>1070</v>
      </c>
      <c r="I535" s="2">
        <v>44883.408745219902</v>
      </c>
      <c r="J535" s="2">
        <v>44895</v>
      </c>
      <c r="K535" t="s">
        <v>509</v>
      </c>
    </row>
    <row r="536" spans="1:11">
      <c r="A536">
        <v>535</v>
      </c>
      <c r="B536">
        <v>166841415</v>
      </c>
      <c r="C536" t="s">
        <v>320</v>
      </c>
      <c r="D536" t="s">
        <v>320</v>
      </c>
      <c r="E536" s="8" t="s">
        <v>36</v>
      </c>
      <c r="F536" t="s">
        <v>1108</v>
      </c>
      <c r="G536" t="s">
        <v>779</v>
      </c>
      <c r="H536" t="s">
        <v>1070</v>
      </c>
      <c r="I536" s="2">
        <v>44883.418811805597</v>
      </c>
      <c r="J536" s="2">
        <v>44895</v>
      </c>
      <c r="K536" t="s">
        <v>509</v>
      </c>
    </row>
    <row r="537" spans="1:11">
      <c r="A537">
        <v>536</v>
      </c>
      <c r="B537">
        <v>166552631</v>
      </c>
      <c r="C537" t="s">
        <v>678</v>
      </c>
      <c r="D537" t="s">
        <v>678</v>
      </c>
      <c r="E537" s="8" t="s">
        <v>97</v>
      </c>
      <c r="F537" t="s">
        <v>274</v>
      </c>
      <c r="G537" t="s">
        <v>779</v>
      </c>
      <c r="H537" t="s">
        <v>1070</v>
      </c>
      <c r="I537" s="2">
        <v>44883.594691898201</v>
      </c>
      <c r="J537" s="2">
        <v>44895</v>
      </c>
      <c r="K537" t="s">
        <v>511</v>
      </c>
    </row>
    <row r="538" spans="1:11">
      <c r="A538">
        <v>537</v>
      </c>
      <c r="B538">
        <v>166553413</v>
      </c>
      <c r="C538" t="s">
        <v>357</v>
      </c>
      <c r="D538" t="s">
        <v>357</v>
      </c>
      <c r="E538" s="8" t="s">
        <v>61</v>
      </c>
      <c r="F538" t="s">
        <v>272</v>
      </c>
      <c r="G538" t="s">
        <v>779</v>
      </c>
      <c r="H538" t="s">
        <v>1070</v>
      </c>
      <c r="I538" s="2">
        <v>44883.600734143503</v>
      </c>
      <c r="J538" s="2">
        <v>44895</v>
      </c>
      <c r="K538" t="s">
        <v>510</v>
      </c>
    </row>
    <row r="539" spans="1:11">
      <c r="A539">
        <v>538</v>
      </c>
      <c r="B539">
        <v>166475678</v>
      </c>
      <c r="C539" t="s">
        <v>975</v>
      </c>
      <c r="D539" t="s">
        <v>363</v>
      </c>
      <c r="E539" s="8" t="s">
        <v>413</v>
      </c>
      <c r="F539" t="s">
        <v>274</v>
      </c>
      <c r="G539" t="s">
        <v>491</v>
      </c>
      <c r="H539" t="s">
        <v>1071</v>
      </c>
      <c r="I539" s="2">
        <v>44883.601306516197</v>
      </c>
      <c r="J539" s="2">
        <v>44933</v>
      </c>
      <c r="K539" t="s">
        <v>512</v>
      </c>
    </row>
    <row r="540" spans="1:11">
      <c r="A540">
        <v>539</v>
      </c>
      <c r="B540">
        <v>161590402</v>
      </c>
      <c r="C540" t="s">
        <v>974</v>
      </c>
      <c r="D540" t="s">
        <v>363</v>
      </c>
      <c r="E540" s="8" t="s">
        <v>413</v>
      </c>
      <c r="F540" t="s">
        <v>274</v>
      </c>
      <c r="G540" t="s">
        <v>491</v>
      </c>
      <c r="H540" t="s">
        <v>1071</v>
      </c>
      <c r="I540" s="2">
        <v>44883.602838738399</v>
      </c>
      <c r="J540" s="2">
        <v>44934</v>
      </c>
      <c r="K540" t="s">
        <v>512</v>
      </c>
    </row>
    <row r="541" spans="1:11">
      <c r="A541">
        <v>540</v>
      </c>
      <c r="B541">
        <v>166551675</v>
      </c>
      <c r="C541" t="s">
        <v>414</v>
      </c>
      <c r="D541" t="s">
        <v>401</v>
      </c>
      <c r="E541" s="8" t="s">
        <v>413</v>
      </c>
      <c r="F541" t="s">
        <v>274</v>
      </c>
      <c r="G541" t="s">
        <v>491</v>
      </c>
      <c r="H541" t="s">
        <v>1071</v>
      </c>
      <c r="I541" s="2">
        <v>44883.604190544</v>
      </c>
      <c r="J541" s="2">
        <v>44935</v>
      </c>
      <c r="K541" t="s">
        <v>512</v>
      </c>
    </row>
    <row r="542" spans="1:11">
      <c r="A542">
        <v>541</v>
      </c>
      <c r="B542">
        <v>151754405</v>
      </c>
      <c r="C542" t="s">
        <v>362</v>
      </c>
      <c r="D542" t="s">
        <v>1042</v>
      </c>
      <c r="E542" s="8" t="s">
        <v>412</v>
      </c>
      <c r="F542" t="s">
        <v>279</v>
      </c>
      <c r="G542" t="s">
        <v>491</v>
      </c>
      <c r="H542" t="s">
        <v>1071</v>
      </c>
      <c r="I542" s="2">
        <v>44883.605832986097</v>
      </c>
      <c r="J542" s="2">
        <v>44932</v>
      </c>
      <c r="K542" t="s">
        <v>512</v>
      </c>
    </row>
    <row r="543" spans="1:11">
      <c r="A543">
        <v>542</v>
      </c>
      <c r="B543">
        <v>166551689</v>
      </c>
      <c r="C543" t="s">
        <v>320</v>
      </c>
      <c r="D543" t="s">
        <v>320</v>
      </c>
      <c r="E543" s="8" t="s">
        <v>413</v>
      </c>
      <c r="F543" t="s">
        <v>274</v>
      </c>
      <c r="G543" t="s">
        <v>491</v>
      </c>
      <c r="H543" t="s">
        <v>1071</v>
      </c>
      <c r="I543" s="2">
        <v>44883.606766006902</v>
      </c>
      <c r="J543" s="2">
        <v>44938</v>
      </c>
      <c r="K543" t="s">
        <v>512</v>
      </c>
    </row>
    <row r="544" spans="1:11">
      <c r="A544">
        <v>543</v>
      </c>
      <c r="B544">
        <v>166551707</v>
      </c>
      <c r="C544" t="s">
        <v>976</v>
      </c>
      <c r="D544" t="s">
        <v>363</v>
      </c>
      <c r="E544" s="8" t="s">
        <v>413</v>
      </c>
      <c r="F544" t="s">
        <v>274</v>
      </c>
      <c r="G544" t="s">
        <v>491</v>
      </c>
      <c r="H544" t="s">
        <v>1071</v>
      </c>
      <c r="I544" s="2">
        <v>44883.608829861099</v>
      </c>
      <c r="J544" s="2">
        <v>44937</v>
      </c>
      <c r="K544" t="s">
        <v>512</v>
      </c>
    </row>
    <row r="545" spans="1:11">
      <c r="A545">
        <v>544</v>
      </c>
      <c r="B545">
        <v>166552661</v>
      </c>
      <c r="C545" t="s">
        <v>320</v>
      </c>
      <c r="D545" t="s">
        <v>320</v>
      </c>
      <c r="E545" s="8" t="s">
        <v>99</v>
      </c>
      <c r="F545" t="s">
        <v>274</v>
      </c>
      <c r="G545" t="s">
        <v>779</v>
      </c>
      <c r="H545" t="s">
        <v>1070</v>
      </c>
      <c r="I545" s="2">
        <v>44883.697417361102</v>
      </c>
      <c r="J545" s="2">
        <v>44895</v>
      </c>
      <c r="K545" t="s">
        <v>511</v>
      </c>
    </row>
    <row r="546" spans="1:11">
      <c r="A546">
        <v>545</v>
      </c>
      <c r="B546">
        <v>148458346</v>
      </c>
      <c r="C546" t="s">
        <v>329</v>
      </c>
      <c r="D546" t="s">
        <v>1041</v>
      </c>
      <c r="E546" s="8" t="s">
        <v>101</v>
      </c>
      <c r="F546" t="s">
        <v>272</v>
      </c>
      <c r="G546" t="s">
        <v>779</v>
      </c>
      <c r="H546" t="s">
        <v>1070</v>
      </c>
      <c r="I546" s="2">
        <v>44883.7076704051</v>
      </c>
      <c r="J546" s="2">
        <v>44895</v>
      </c>
      <c r="K546" t="s">
        <v>511</v>
      </c>
    </row>
    <row r="547" spans="1:11">
      <c r="A547">
        <v>546</v>
      </c>
      <c r="B547">
        <v>166552677</v>
      </c>
      <c r="C547" t="s">
        <v>357</v>
      </c>
      <c r="D547" t="s">
        <v>357</v>
      </c>
      <c r="E547" s="8" t="s">
        <v>85</v>
      </c>
      <c r="F547" t="s">
        <v>279</v>
      </c>
      <c r="G547" t="s">
        <v>779</v>
      </c>
      <c r="H547" t="s">
        <v>1070</v>
      </c>
      <c r="I547" s="2">
        <v>44883.719935300898</v>
      </c>
      <c r="J547" s="2">
        <v>44895</v>
      </c>
      <c r="K547" t="s">
        <v>510</v>
      </c>
    </row>
    <row r="548" spans="1:11">
      <c r="A548">
        <v>547</v>
      </c>
      <c r="B548">
        <v>166553405</v>
      </c>
      <c r="C548" t="s">
        <v>320</v>
      </c>
      <c r="D548" t="s">
        <v>320</v>
      </c>
      <c r="E548" s="8" t="s">
        <v>85</v>
      </c>
      <c r="F548" t="s">
        <v>279</v>
      </c>
      <c r="G548" t="s">
        <v>779</v>
      </c>
      <c r="H548" t="s">
        <v>1070</v>
      </c>
      <c r="I548" s="2">
        <v>44883.7211110301</v>
      </c>
      <c r="J548" s="2">
        <v>44895</v>
      </c>
      <c r="K548" t="s">
        <v>510</v>
      </c>
    </row>
    <row r="549" spans="1:11">
      <c r="A549">
        <v>548</v>
      </c>
      <c r="B549">
        <v>169596415</v>
      </c>
      <c r="C549" t="s">
        <v>678</v>
      </c>
      <c r="D549" t="s">
        <v>678</v>
      </c>
      <c r="E549" s="8" t="s">
        <v>200</v>
      </c>
      <c r="F549" t="s">
        <v>272</v>
      </c>
      <c r="G549" t="s">
        <v>504</v>
      </c>
      <c r="H549" t="s">
        <v>1070</v>
      </c>
      <c r="I549" s="2">
        <v>44883.825129780103</v>
      </c>
      <c r="J549" s="2">
        <v>44895</v>
      </c>
      <c r="K549" t="s">
        <v>512</v>
      </c>
    </row>
    <row r="550" spans="1:11">
      <c r="A550">
        <v>549</v>
      </c>
      <c r="B550">
        <v>166843465</v>
      </c>
      <c r="C550" t="s">
        <v>678</v>
      </c>
      <c r="D550" t="s">
        <v>678</v>
      </c>
      <c r="E550" s="8" t="s">
        <v>764</v>
      </c>
      <c r="F550" t="s">
        <v>274</v>
      </c>
      <c r="G550" t="s">
        <v>504</v>
      </c>
      <c r="H550" t="s">
        <v>1070</v>
      </c>
      <c r="I550" s="2">
        <v>44883.830348993099</v>
      </c>
      <c r="J550" s="2">
        <v>44895</v>
      </c>
      <c r="K550" t="s">
        <v>512</v>
      </c>
    </row>
    <row r="551" spans="1:11">
      <c r="A551">
        <v>550</v>
      </c>
      <c r="B551">
        <v>169596418</v>
      </c>
      <c r="C551" t="s">
        <v>320</v>
      </c>
      <c r="D551" t="s">
        <v>320</v>
      </c>
      <c r="E551" s="8" t="s">
        <v>200</v>
      </c>
      <c r="F551" t="s">
        <v>272</v>
      </c>
      <c r="G551" t="s">
        <v>504</v>
      </c>
      <c r="H551" t="s">
        <v>1070</v>
      </c>
      <c r="I551" s="2">
        <v>44883.832544594901</v>
      </c>
      <c r="J551" s="2">
        <v>44895</v>
      </c>
      <c r="K551" t="s">
        <v>512</v>
      </c>
    </row>
    <row r="552" spans="1:11">
      <c r="A552">
        <v>551</v>
      </c>
      <c r="B552">
        <v>169596412</v>
      </c>
      <c r="C552" t="s">
        <v>320</v>
      </c>
      <c r="D552" t="s">
        <v>320</v>
      </c>
      <c r="E552" s="8" t="s">
        <v>200</v>
      </c>
      <c r="F552" t="s">
        <v>272</v>
      </c>
      <c r="G552" t="s">
        <v>504</v>
      </c>
      <c r="H552" t="s">
        <v>1070</v>
      </c>
      <c r="I552" s="2">
        <v>44883.835869328701</v>
      </c>
      <c r="J552" s="2">
        <v>44895</v>
      </c>
      <c r="K552" t="s">
        <v>512</v>
      </c>
    </row>
    <row r="553" spans="1:11">
      <c r="A553">
        <v>552</v>
      </c>
      <c r="B553">
        <v>168099455</v>
      </c>
      <c r="C553" t="s">
        <v>977</v>
      </c>
      <c r="D553" t="s">
        <v>363</v>
      </c>
      <c r="E553" s="8" t="s">
        <v>200</v>
      </c>
      <c r="F553" t="s">
        <v>272</v>
      </c>
      <c r="G553" t="s">
        <v>504</v>
      </c>
      <c r="H553" t="s">
        <v>1070</v>
      </c>
      <c r="I553" s="2">
        <v>44883.924859722203</v>
      </c>
      <c r="J553" s="2">
        <v>44895</v>
      </c>
      <c r="K553" t="s">
        <v>512</v>
      </c>
    </row>
    <row r="554" spans="1:11">
      <c r="A554">
        <v>553</v>
      </c>
      <c r="B554">
        <v>166842317</v>
      </c>
      <c r="C554" t="s">
        <v>678</v>
      </c>
      <c r="D554" t="s">
        <v>678</v>
      </c>
      <c r="E554" s="8" t="s">
        <v>178</v>
      </c>
      <c r="F554" t="s">
        <v>1108</v>
      </c>
      <c r="G554" t="s">
        <v>779</v>
      </c>
      <c r="H554" t="s">
        <v>1070</v>
      </c>
      <c r="I554" s="2">
        <v>44884.005959224502</v>
      </c>
      <c r="J554" s="2">
        <v>44956</v>
      </c>
      <c r="K554" t="s">
        <v>512</v>
      </c>
    </row>
    <row r="555" spans="1:11">
      <c r="A555">
        <v>554</v>
      </c>
      <c r="B555">
        <v>168098768</v>
      </c>
      <c r="C555" t="s">
        <v>302</v>
      </c>
      <c r="D555" t="s">
        <v>1042</v>
      </c>
      <c r="E555" s="8" t="s">
        <v>40</v>
      </c>
      <c r="F555" t="s">
        <v>272</v>
      </c>
      <c r="G555" t="s">
        <v>779</v>
      </c>
      <c r="H555" t="s">
        <v>1070</v>
      </c>
      <c r="I555" s="2">
        <v>44885.637821794</v>
      </c>
      <c r="J555" s="2">
        <v>44895</v>
      </c>
      <c r="K555" t="s">
        <v>509</v>
      </c>
    </row>
    <row r="556" spans="1:11">
      <c r="A556">
        <v>555</v>
      </c>
      <c r="B556">
        <v>166551735</v>
      </c>
      <c r="C556" t="s">
        <v>357</v>
      </c>
      <c r="D556" t="s">
        <v>357</v>
      </c>
      <c r="E556" s="8" t="s">
        <v>431</v>
      </c>
      <c r="F556" t="s">
        <v>272</v>
      </c>
      <c r="G556" t="s">
        <v>491</v>
      </c>
      <c r="H556" t="s">
        <v>1071</v>
      </c>
      <c r="I556" s="2">
        <v>44886.048698842598</v>
      </c>
      <c r="J556" s="2">
        <v>44969</v>
      </c>
      <c r="K556" t="s">
        <v>513</v>
      </c>
    </row>
    <row r="557" spans="1:11">
      <c r="A557">
        <v>556</v>
      </c>
      <c r="B557">
        <v>166551323</v>
      </c>
      <c r="C557" t="s">
        <v>357</v>
      </c>
      <c r="D557" t="s">
        <v>357</v>
      </c>
      <c r="E557" s="8" t="s">
        <v>485</v>
      </c>
      <c r="F557" t="s">
        <v>1108</v>
      </c>
      <c r="G557" t="s">
        <v>499</v>
      </c>
      <c r="H557" t="s">
        <v>1070</v>
      </c>
      <c r="I557" s="2">
        <v>44886.476003124997</v>
      </c>
      <c r="J557" s="2">
        <v>45043</v>
      </c>
      <c r="K557" t="s">
        <v>514</v>
      </c>
    </row>
    <row r="558" spans="1:11">
      <c r="A558">
        <v>557</v>
      </c>
      <c r="B558">
        <v>169597132</v>
      </c>
      <c r="C558" t="s">
        <v>357</v>
      </c>
      <c r="D558" t="s">
        <v>357</v>
      </c>
      <c r="E558" s="8" t="s">
        <v>243</v>
      </c>
      <c r="F558" t="s">
        <v>272</v>
      </c>
      <c r="G558" t="s">
        <v>491</v>
      </c>
      <c r="H558" t="s">
        <v>1071</v>
      </c>
      <c r="I558" s="2">
        <v>44886.5883042477</v>
      </c>
      <c r="J558" s="2">
        <v>44925</v>
      </c>
      <c r="K558" t="s">
        <v>512</v>
      </c>
    </row>
    <row r="559" spans="1:11">
      <c r="A559">
        <v>558</v>
      </c>
      <c r="B559">
        <v>169597387</v>
      </c>
      <c r="C559" t="s">
        <v>320</v>
      </c>
      <c r="D559" t="s">
        <v>320</v>
      </c>
      <c r="E559" s="8" t="s">
        <v>773</v>
      </c>
      <c r="F559" t="s">
        <v>272</v>
      </c>
      <c r="G559" t="s">
        <v>491</v>
      </c>
      <c r="H559" t="s">
        <v>1071</v>
      </c>
      <c r="I559" s="2">
        <v>44886.589486307901</v>
      </c>
      <c r="J559" s="2">
        <v>44924</v>
      </c>
      <c r="K559" t="s">
        <v>512</v>
      </c>
    </row>
    <row r="560" spans="1:11">
      <c r="A560">
        <v>559</v>
      </c>
      <c r="B560">
        <v>166551671</v>
      </c>
      <c r="C560" t="s">
        <v>418</v>
      </c>
      <c r="D560" t="s">
        <v>1068</v>
      </c>
      <c r="E560" s="8" t="s">
        <v>419</v>
      </c>
      <c r="F560" t="s">
        <v>274</v>
      </c>
      <c r="G560" t="s">
        <v>491</v>
      </c>
      <c r="H560" t="s">
        <v>1071</v>
      </c>
      <c r="I560" s="2">
        <v>44886.612432835602</v>
      </c>
      <c r="J560" s="2">
        <v>44942</v>
      </c>
      <c r="K560" t="s">
        <v>512</v>
      </c>
    </row>
    <row r="561" spans="1:11">
      <c r="A561">
        <v>560</v>
      </c>
      <c r="B561">
        <v>169596436</v>
      </c>
      <c r="C561" t="s">
        <v>678</v>
      </c>
      <c r="D561" t="s">
        <v>678</v>
      </c>
      <c r="E561" s="8" t="s">
        <v>153</v>
      </c>
      <c r="F561" t="s">
        <v>274</v>
      </c>
      <c r="G561" t="s">
        <v>779</v>
      </c>
      <c r="H561" t="s">
        <v>1070</v>
      </c>
      <c r="I561" s="2">
        <v>44886.675975462997</v>
      </c>
      <c r="J561" s="2">
        <v>44978</v>
      </c>
      <c r="K561" t="s">
        <v>511</v>
      </c>
    </row>
    <row r="562" spans="1:11">
      <c r="A562">
        <v>561</v>
      </c>
      <c r="B562">
        <v>166843463</v>
      </c>
      <c r="C562" t="s">
        <v>376</v>
      </c>
      <c r="D562" t="s">
        <v>1068</v>
      </c>
      <c r="E562" s="8" t="s">
        <v>765</v>
      </c>
      <c r="F562" t="s">
        <v>272</v>
      </c>
      <c r="G562" t="s">
        <v>504</v>
      </c>
      <c r="H562" t="s">
        <v>1070</v>
      </c>
      <c r="I562" s="2">
        <v>44886.687442858798</v>
      </c>
      <c r="J562" s="2">
        <v>44895</v>
      </c>
      <c r="K562" t="s">
        <v>512</v>
      </c>
    </row>
    <row r="563" spans="1:11">
      <c r="A563">
        <v>562</v>
      </c>
      <c r="B563">
        <v>169596433</v>
      </c>
      <c r="C563" t="s">
        <v>320</v>
      </c>
      <c r="D563" t="s">
        <v>320</v>
      </c>
      <c r="E563" s="8" t="s">
        <v>742</v>
      </c>
      <c r="F563" t="s">
        <v>1108</v>
      </c>
      <c r="G563" t="s">
        <v>779</v>
      </c>
      <c r="H563" t="s">
        <v>1070</v>
      </c>
      <c r="I563" s="2">
        <v>44886.742704548597</v>
      </c>
      <c r="J563" s="2">
        <v>44979</v>
      </c>
      <c r="K563" t="s">
        <v>511</v>
      </c>
    </row>
    <row r="564" spans="1:11">
      <c r="A564">
        <v>563</v>
      </c>
      <c r="B564">
        <v>166843457</v>
      </c>
      <c r="C564" t="s">
        <v>678</v>
      </c>
      <c r="D564" t="s">
        <v>678</v>
      </c>
      <c r="E564" s="8" t="s">
        <v>199</v>
      </c>
      <c r="F564" t="s">
        <v>274</v>
      </c>
      <c r="G564" t="s">
        <v>504</v>
      </c>
      <c r="H564" t="s">
        <v>1070</v>
      </c>
      <c r="I564" s="2">
        <v>44886.815726006898</v>
      </c>
      <c r="J564" s="2">
        <v>44895</v>
      </c>
      <c r="K564" t="s">
        <v>512</v>
      </c>
    </row>
    <row r="565" spans="1:11">
      <c r="A565">
        <v>564</v>
      </c>
      <c r="B565">
        <v>168100865</v>
      </c>
      <c r="C565" t="s">
        <v>320</v>
      </c>
      <c r="D565" t="s">
        <v>320</v>
      </c>
      <c r="E565" s="8" t="s">
        <v>431</v>
      </c>
      <c r="F565" t="s">
        <v>272</v>
      </c>
      <c r="G565" t="s">
        <v>491</v>
      </c>
      <c r="H565" t="s">
        <v>1071</v>
      </c>
      <c r="I565" s="2">
        <v>44886.853609178201</v>
      </c>
      <c r="J565" s="2">
        <v>44985</v>
      </c>
      <c r="K565" t="s">
        <v>514</v>
      </c>
    </row>
    <row r="566" spans="1:11">
      <c r="A566">
        <v>565</v>
      </c>
      <c r="B566">
        <v>166552673</v>
      </c>
      <c r="C566" t="s">
        <v>678</v>
      </c>
      <c r="D566" t="s">
        <v>678</v>
      </c>
      <c r="E566" s="8" t="s">
        <v>84</v>
      </c>
      <c r="F566" t="s">
        <v>274</v>
      </c>
      <c r="G566" t="s">
        <v>779</v>
      </c>
      <c r="H566" t="s">
        <v>1070</v>
      </c>
      <c r="I566" s="2">
        <v>44886.857186574103</v>
      </c>
      <c r="J566" s="2">
        <v>44895</v>
      </c>
      <c r="K566" t="s">
        <v>510</v>
      </c>
    </row>
    <row r="567" spans="1:11">
      <c r="A567">
        <v>566</v>
      </c>
      <c r="B567">
        <v>166842823</v>
      </c>
      <c r="C567" t="s">
        <v>320</v>
      </c>
      <c r="D567" t="s">
        <v>320</v>
      </c>
      <c r="E567" s="8" t="s">
        <v>768</v>
      </c>
      <c r="F567" t="s">
        <v>272</v>
      </c>
      <c r="G567" t="s">
        <v>779</v>
      </c>
      <c r="H567" t="s">
        <v>1070</v>
      </c>
      <c r="I567" s="2">
        <v>44886.864970289404</v>
      </c>
      <c r="J567" s="2">
        <v>44895</v>
      </c>
      <c r="K567" t="s">
        <v>510</v>
      </c>
    </row>
    <row r="568" spans="1:11">
      <c r="A568">
        <v>567</v>
      </c>
      <c r="B568">
        <v>166549167</v>
      </c>
      <c r="C568" t="s">
        <v>1020</v>
      </c>
      <c r="D568" t="s">
        <v>363</v>
      </c>
      <c r="E568" s="8" t="s">
        <v>100</v>
      </c>
      <c r="F568" t="s">
        <v>274</v>
      </c>
      <c r="G568" t="s">
        <v>779</v>
      </c>
      <c r="H568" t="s">
        <v>1070</v>
      </c>
      <c r="I568" s="2">
        <v>44886.891364618103</v>
      </c>
      <c r="J568" s="2">
        <v>44895</v>
      </c>
      <c r="K568" t="s">
        <v>511</v>
      </c>
    </row>
    <row r="569" spans="1:11">
      <c r="A569">
        <v>568</v>
      </c>
      <c r="B569">
        <v>168100847</v>
      </c>
      <c r="C569" t="s">
        <v>678</v>
      </c>
      <c r="D569" t="s">
        <v>678</v>
      </c>
      <c r="E569" s="8" t="s">
        <v>425</v>
      </c>
      <c r="F569" t="s">
        <v>274</v>
      </c>
      <c r="G569" t="s">
        <v>491</v>
      </c>
      <c r="H569" t="s">
        <v>1071</v>
      </c>
      <c r="I569" s="2">
        <v>44886.940903044</v>
      </c>
      <c r="J569" s="2">
        <v>44957</v>
      </c>
      <c r="K569" t="s">
        <v>513</v>
      </c>
    </row>
    <row r="570" spans="1:11">
      <c r="A570">
        <v>569</v>
      </c>
      <c r="B570">
        <v>166552601</v>
      </c>
      <c r="C570" t="s">
        <v>320</v>
      </c>
      <c r="D570" t="s">
        <v>320</v>
      </c>
      <c r="E570" s="8" t="s">
        <v>88</v>
      </c>
      <c r="F570" t="s">
        <v>279</v>
      </c>
      <c r="G570" t="s">
        <v>779</v>
      </c>
      <c r="H570" t="s">
        <v>1070</v>
      </c>
      <c r="I570" s="2">
        <v>44887.444537465301</v>
      </c>
      <c r="J570" s="2">
        <v>44895</v>
      </c>
      <c r="K570" t="s">
        <v>510</v>
      </c>
    </row>
    <row r="571" spans="1:11">
      <c r="A571">
        <v>570</v>
      </c>
      <c r="B571">
        <v>166557663</v>
      </c>
      <c r="C571" t="s">
        <v>1005</v>
      </c>
      <c r="D571" t="s">
        <v>1042</v>
      </c>
      <c r="E571" s="8" t="s">
        <v>88</v>
      </c>
      <c r="F571" t="s">
        <v>279</v>
      </c>
      <c r="G571" t="s">
        <v>779</v>
      </c>
      <c r="H571" t="s">
        <v>1070</v>
      </c>
      <c r="I571" s="2">
        <v>44887.445970370398</v>
      </c>
      <c r="J571" s="2">
        <v>44895</v>
      </c>
      <c r="K571" t="s">
        <v>510</v>
      </c>
    </row>
    <row r="572" spans="1:11">
      <c r="A572">
        <v>571</v>
      </c>
      <c r="B572">
        <v>166557677</v>
      </c>
      <c r="C572" t="s">
        <v>324</v>
      </c>
      <c r="D572" t="s">
        <v>1042</v>
      </c>
      <c r="E572" s="8" t="s">
        <v>88</v>
      </c>
      <c r="F572" t="s">
        <v>279</v>
      </c>
      <c r="G572" t="s">
        <v>779</v>
      </c>
      <c r="H572" t="s">
        <v>1070</v>
      </c>
      <c r="I572" s="2">
        <v>44887.447398993099</v>
      </c>
      <c r="J572" s="2">
        <v>44895</v>
      </c>
      <c r="K572" t="s">
        <v>510</v>
      </c>
    </row>
    <row r="573" spans="1:11">
      <c r="A573">
        <v>572</v>
      </c>
      <c r="B573">
        <v>166552633</v>
      </c>
      <c r="C573" t="s">
        <v>357</v>
      </c>
      <c r="D573" t="s">
        <v>357</v>
      </c>
      <c r="E573" s="8" t="s">
        <v>88</v>
      </c>
      <c r="F573" t="s">
        <v>279</v>
      </c>
      <c r="G573" t="s">
        <v>779</v>
      </c>
      <c r="H573" t="s">
        <v>1070</v>
      </c>
      <c r="I573" s="2">
        <v>44887.452246330999</v>
      </c>
      <c r="J573" s="2">
        <v>44895</v>
      </c>
      <c r="K573" t="s">
        <v>510</v>
      </c>
    </row>
    <row r="574" spans="1:11">
      <c r="A574">
        <v>573</v>
      </c>
      <c r="B574">
        <v>164928979</v>
      </c>
      <c r="C574" t="s">
        <v>320</v>
      </c>
      <c r="D574" t="s">
        <v>320</v>
      </c>
      <c r="E574" s="8" t="s">
        <v>125</v>
      </c>
      <c r="F574" t="s">
        <v>274</v>
      </c>
      <c r="G574" t="s">
        <v>779</v>
      </c>
      <c r="H574" t="s">
        <v>1070</v>
      </c>
      <c r="I574" s="2">
        <v>44887.600271030104</v>
      </c>
      <c r="J574" s="2">
        <v>44912</v>
      </c>
      <c r="K574" t="s">
        <v>511</v>
      </c>
    </row>
    <row r="575" spans="1:11">
      <c r="A575">
        <v>574</v>
      </c>
      <c r="B575">
        <v>166552685</v>
      </c>
      <c r="C575" t="s">
        <v>306</v>
      </c>
      <c r="D575" t="s">
        <v>306</v>
      </c>
      <c r="E575" s="8" t="s">
        <v>80</v>
      </c>
      <c r="F575" t="s">
        <v>277</v>
      </c>
      <c r="G575" t="s">
        <v>779</v>
      </c>
      <c r="H575" t="s">
        <v>1070</v>
      </c>
      <c r="I575" s="2">
        <v>44887.6017133102</v>
      </c>
      <c r="J575" s="2">
        <v>44895</v>
      </c>
      <c r="K575" t="s">
        <v>510</v>
      </c>
    </row>
    <row r="576" spans="1:11">
      <c r="A576">
        <v>575</v>
      </c>
      <c r="B576">
        <v>157994266</v>
      </c>
      <c r="C576" t="s">
        <v>356</v>
      </c>
      <c r="D576" t="s">
        <v>1068</v>
      </c>
      <c r="E576" s="8" t="s">
        <v>769</v>
      </c>
      <c r="F576" t="s">
        <v>1108</v>
      </c>
      <c r="G576" t="s">
        <v>779</v>
      </c>
      <c r="H576" t="s">
        <v>1070</v>
      </c>
      <c r="I576" s="2">
        <v>44887.657582442102</v>
      </c>
      <c r="J576" s="2">
        <v>44895</v>
      </c>
      <c r="K576" t="s">
        <v>511</v>
      </c>
    </row>
    <row r="577" spans="1:11">
      <c r="A577">
        <v>576</v>
      </c>
      <c r="B577">
        <v>169884943</v>
      </c>
      <c r="C577" t="s">
        <v>990</v>
      </c>
      <c r="D577" t="s">
        <v>1042</v>
      </c>
      <c r="E577" s="8" t="s">
        <v>115</v>
      </c>
      <c r="F577" t="s">
        <v>272</v>
      </c>
      <c r="G577" t="s">
        <v>779</v>
      </c>
      <c r="H577" t="s">
        <v>1070</v>
      </c>
      <c r="I577" s="2">
        <v>44887.683654247703</v>
      </c>
      <c r="J577" s="2">
        <v>44895</v>
      </c>
      <c r="K577" t="s">
        <v>511</v>
      </c>
    </row>
    <row r="578" spans="1:11">
      <c r="A578">
        <v>577</v>
      </c>
      <c r="B578">
        <v>171871588</v>
      </c>
      <c r="C578" t="s">
        <v>337</v>
      </c>
      <c r="D578" t="s">
        <v>1068</v>
      </c>
      <c r="E578" s="8" t="s">
        <v>116</v>
      </c>
      <c r="F578" t="s">
        <v>280</v>
      </c>
      <c r="G578" t="s">
        <v>779</v>
      </c>
      <c r="H578" t="s">
        <v>1070</v>
      </c>
      <c r="I578" s="2">
        <v>44887.685857905097</v>
      </c>
      <c r="J578" s="2">
        <v>44895</v>
      </c>
      <c r="K578" t="s">
        <v>511</v>
      </c>
    </row>
    <row r="579" spans="1:11">
      <c r="A579">
        <v>578</v>
      </c>
      <c r="B579">
        <v>171634249</v>
      </c>
      <c r="C579" t="s">
        <v>678</v>
      </c>
      <c r="D579" t="s">
        <v>678</v>
      </c>
      <c r="E579" s="8" t="s">
        <v>428</v>
      </c>
      <c r="F579" t="s">
        <v>282</v>
      </c>
      <c r="G579" t="s">
        <v>491</v>
      </c>
      <c r="H579" t="s">
        <v>1071</v>
      </c>
      <c r="I579" s="2">
        <v>44887.687128206002</v>
      </c>
      <c r="J579" s="2">
        <v>44960</v>
      </c>
      <c r="K579" t="s">
        <v>513</v>
      </c>
    </row>
    <row r="580" spans="1:11">
      <c r="A580">
        <v>579</v>
      </c>
      <c r="B580">
        <v>166551773</v>
      </c>
      <c r="C580" t="s">
        <v>1030</v>
      </c>
      <c r="D580" t="s">
        <v>363</v>
      </c>
      <c r="E580" s="8" t="s">
        <v>429</v>
      </c>
      <c r="F580" t="s">
        <v>272</v>
      </c>
      <c r="G580" t="s">
        <v>491</v>
      </c>
      <c r="H580" t="s">
        <v>1071</v>
      </c>
      <c r="I580" s="2">
        <v>44887.698545104198</v>
      </c>
      <c r="J580" s="2">
        <v>44963</v>
      </c>
      <c r="K580" t="s">
        <v>513</v>
      </c>
    </row>
    <row r="581" spans="1:11">
      <c r="A581">
        <v>580</v>
      </c>
      <c r="B581">
        <v>166551725</v>
      </c>
      <c r="C581" t="s">
        <v>357</v>
      </c>
      <c r="D581" t="s">
        <v>357</v>
      </c>
      <c r="E581" s="8" t="s">
        <v>431</v>
      </c>
      <c r="F581" t="s">
        <v>272</v>
      </c>
      <c r="G581" t="s">
        <v>491</v>
      </c>
      <c r="H581" t="s">
        <v>1071</v>
      </c>
      <c r="I581" s="2">
        <v>44887.700668865698</v>
      </c>
      <c r="J581" s="2">
        <v>44966</v>
      </c>
      <c r="K581" t="s">
        <v>513</v>
      </c>
    </row>
    <row r="582" spans="1:11">
      <c r="A582">
        <v>581</v>
      </c>
      <c r="B582">
        <v>168100856</v>
      </c>
      <c r="C582" t="s">
        <v>357</v>
      </c>
      <c r="D582" t="s">
        <v>357</v>
      </c>
      <c r="E582" s="8" t="s">
        <v>431</v>
      </c>
      <c r="F582" t="s">
        <v>272</v>
      </c>
      <c r="G582" t="s">
        <v>491</v>
      </c>
      <c r="H582" t="s">
        <v>1071</v>
      </c>
      <c r="I582" s="2">
        <v>44887.702524768501</v>
      </c>
      <c r="J582" s="2">
        <v>44967</v>
      </c>
      <c r="K582" t="s">
        <v>513</v>
      </c>
    </row>
    <row r="583" spans="1:11">
      <c r="A583">
        <v>582</v>
      </c>
      <c r="B583">
        <v>165943933</v>
      </c>
      <c r="D583" t="s">
        <v>1108</v>
      </c>
      <c r="E583" s="8" t="s">
        <v>115</v>
      </c>
      <c r="F583" t="s">
        <v>272</v>
      </c>
      <c r="G583" t="s">
        <v>779</v>
      </c>
      <c r="H583" t="s">
        <v>1070</v>
      </c>
      <c r="I583" s="2">
        <v>44887.713111226803</v>
      </c>
      <c r="J583" s="2">
        <v>44895</v>
      </c>
      <c r="K583" t="s">
        <v>511</v>
      </c>
    </row>
    <row r="584" spans="1:11">
      <c r="A584">
        <v>583</v>
      </c>
      <c r="B584">
        <v>166551781</v>
      </c>
      <c r="C584" t="s">
        <v>357</v>
      </c>
      <c r="D584" t="s">
        <v>357</v>
      </c>
      <c r="E584" s="8" t="s">
        <v>429</v>
      </c>
      <c r="F584" t="s">
        <v>272</v>
      </c>
      <c r="G584" t="s">
        <v>491</v>
      </c>
      <c r="H584" t="s">
        <v>1071</v>
      </c>
      <c r="I584" s="2">
        <v>44887.714672303198</v>
      </c>
      <c r="J584" s="2">
        <v>44961</v>
      </c>
      <c r="K584" t="s">
        <v>513</v>
      </c>
    </row>
    <row r="585" spans="1:11">
      <c r="A585">
        <v>584</v>
      </c>
      <c r="B585">
        <v>166551757</v>
      </c>
      <c r="C585" t="s">
        <v>957</v>
      </c>
      <c r="D585" t="s">
        <v>1042</v>
      </c>
      <c r="E585" s="8" t="s">
        <v>429</v>
      </c>
      <c r="F585" t="s">
        <v>272</v>
      </c>
      <c r="G585" t="s">
        <v>491</v>
      </c>
      <c r="H585" t="s">
        <v>1071</v>
      </c>
      <c r="I585" s="2">
        <v>44887.715939120397</v>
      </c>
      <c r="J585" s="2">
        <v>44962</v>
      </c>
      <c r="K585" t="s">
        <v>513</v>
      </c>
    </row>
    <row r="586" spans="1:11">
      <c r="A586">
        <v>585</v>
      </c>
      <c r="B586">
        <v>166552603</v>
      </c>
      <c r="C586" t="s">
        <v>678</v>
      </c>
      <c r="D586" t="s">
        <v>678</v>
      </c>
      <c r="E586" s="8" t="s">
        <v>59</v>
      </c>
      <c r="F586" t="s">
        <v>274</v>
      </c>
      <c r="G586" t="s">
        <v>779</v>
      </c>
      <c r="H586" t="s">
        <v>1070</v>
      </c>
      <c r="I586" s="2">
        <v>44887.724766863401</v>
      </c>
      <c r="J586" s="2">
        <v>44895</v>
      </c>
      <c r="K586" t="s">
        <v>510</v>
      </c>
    </row>
    <row r="587" spans="1:11">
      <c r="A587">
        <v>586</v>
      </c>
      <c r="B587">
        <v>166552579</v>
      </c>
      <c r="C587" t="s">
        <v>320</v>
      </c>
      <c r="D587" t="s">
        <v>320</v>
      </c>
      <c r="E587" s="8" t="s">
        <v>60</v>
      </c>
      <c r="F587" t="s">
        <v>274</v>
      </c>
      <c r="G587" t="s">
        <v>779</v>
      </c>
      <c r="H587" t="s">
        <v>1070</v>
      </c>
      <c r="I587" s="2">
        <v>44887.730023923599</v>
      </c>
      <c r="J587" s="2">
        <v>44895</v>
      </c>
      <c r="K587" t="s">
        <v>510</v>
      </c>
    </row>
    <row r="588" spans="1:11">
      <c r="A588">
        <v>587</v>
      </c>
      <c r="B588">
        <v>166552569</v>
      </c>
      <c r="C588" t="s">
        <v>320</v>
      </c>
      <c r="D588" t="s">
        <v>320</v>
      </c>
      <c r="E588" s="8" t="s">
        <v>743</v>
      </c>
      <c r="F588" t="s">
        <v>274</v>
      </c>
      <c r="G588" t="s">
        <v>779</v>
      </c>
      <c r="H588" t="s">
        <v>1070</v>
      </c>
      <c r="I588" s="2">
        <v>44887.730662349502</v>
      </c>
      <c r="J588" s="2">
        <v>44895</v>
      </c>
      <c r="K588" t="s">
        <v>510</v>
      </c>
    </row>
    <row r="589" spans="1:11">
      <c r="A589">
        <v>588</v>
      </c>
      <c r="B589">
        <v>165389242</v>
      </c>
      <c r="D589" t="s">
        <v>1108</v>
      </c>
      <c r="E589" s="8" t="s">
        <v>744</v>
      </c>
      <c r="F589" t="s">
        <v>276</v>
      </c>
      <c r="G589" t="s">
        <v>779</v>
      </c>
      <c r="H589" t="s">
        <v>1070</v>
      </c>
      <c r="I589" s="2">
        <v>44887.731766169003</v>
      </c>
      <c r="J589" s="2">
        <v>44895</v>
      </c>
      <c r="K589" t="s">
        <v>510</v>
      </c>
    </row>
    <row r="590" spans="1:11">
      <c r="A590">
        <v>589</v>
      </c>
      <c r="B590">
        <v>166552629</v>
      </c>
      <c r="C590" t="s">
        <v>678</v>
      </c>
      <c r="D590" t="s">
        <v>678</v>
      </c>
      <c r="E590" s="8" t="s">
        <v>60</v>
      </c>
      <c r="F590" t="s">
        <v>274</v>
      </c>
      <c r="G590" t="s">
        <v>779</v>
      </c>
      <c r="H590" t="s">
        <v>1070</v>
      </c>
      <c r="I590" s="2">
        <v>44887.732997719897</v>
      </c>
      <c r="J590" s="2">
        <v>44895</v>
      </c>
      <c r="K590" t="s">
        <v>510</v>
      </c>
    </row>
    <row r="591" spans="1:11">
      <c r="A591">
        <v>590</v>
      </c>
      <c r="B591">
        <v>166552605</v>
      </c>
      <c r="C591" t="s">
        <v>1031</v>
      </c>
      <c r="D591" t="s">
        <v>363</v>
      </c>
      <c r="E591" s="8" t="s">
        <v>60</v>
      </c>
      <c r="F591" t="s">
        <v>274</v>
      </c>
      <c r="G591" t="s">
        <v>779</v>
      </c>
      <c r="H591" t="s">
        <v>1070</v>
      </c>
      <c r="I591" s="2">
        <v>44887.734710960598</v>
      </c>
      <c r="J591" s="2">
        <v>44895</v>
      </c>
      <c r="K591" t="s">
        <v>510</v>
      </c>
    </row>
    <row r="592" spans="1:11">
      <c r="A592">
        <v>591</v>
      </c>
      <c r="B592">
        <v>166551763</v>
      </c>
      <c r="C592" t="s">
        <v>320</v>
      </c>
      <c r="D592" t="s">
        <v>320</v>
      </c>
      <c r="E592" s="8" t="s">
        <v>431</v>
      </c>
      <c r="F592" t="s">
        <v>272</v>
      </c>
      <c r="G592" t="s">
        <v>491</v>
      </c>
      <c r="H592" t="s">
        <v>1071</v>
      </c>
      <c r="I592" s="2">
        <v>44887.749453900498</v>
      </c>
      <c r="J592" s="2">
        <v>44964</v>
      </c>
      <c r="K592" t="s">
        <v>513</v>
      </c>
    </row>
    <row r="593" spans="1:11">
      <c r="A593">
        <v>592</v>
      </c>
      <c r="B593">
        <v>166843337</v>
      </c>
      <c r="C593" t="s">
        <v>356</v>
      </c>
      <c r="D593" t="s">
        <v>1068</v>
      </c>
      <c r="E593" s="8" t="s">
        <v>148</v>
      </c>
      <c r="F593" t="s">
        <v>273</v>
      </c>
      <c r="G593" t="s">
        <v>779</v>
      </c>
      <c r="H593" t="s">
        <v>1070</v>
      </c>
      <c r="I593" s="2">
        <v>44887.818479432899</v>
      </c>
      <c r="J593" s="2">
        <v>44966</v>
      </c>
      <c r="K593" t="s">
        <v>511</v>
      </c>
    </row>
    <row r="594" spans="1:11">
      <c r="A594">
        <v>593</v>
      </c>
      <c r="B594">
        <v>166551327</v>
      </c>
      <c r="C594" t="s">
        <v>377</v>
      </c>
      <c r="D594" t="s">
        <v>1041</v>
      </c>
      <c r="E594" s="8" t="s">
        <v>9</v>
      </c>
      <c r="F594" t="s">
        <v>272</v>
      </c>
      <c r="G594" t="s">
        <v>499</v>
      </c>
      <c r="H594" t="s">
        <v>1070</v>
      </c>
      <c r="I594" s="2">
        <v>44887.848462419002</v>
      </c>
      <c r="J594" s="2">
        <v>45035</v>
      </c>
      <c r="K594" t="s">
        <v>514</v>
      </c>
    </row>
    <row r="595" spans="1:11">
      <c r="A595">
        <v>594</v>
      </c>
      <c r="B595">
        <v>168101003</v>
      </c>
      <c r="C595" t="s">
        <v>320</v>
      </c>
      <c r="D595" t="s">
        <v>320</v>
      </c>
      <c r="E595" s="8" t="s">
        <v>119</v>
      </c>
      <c r="F595" t="s">
        <v>272</v>
      </c>
      <c r="G595" t="s">
        <v>779</v>
      </c>
      <c r="H595" t="s">
        <v>1070</v>
      </c>
      <c r="I595" s="2">
        <v>44888.382341284698</v>
      </c>
      <c r="J595" s="2">
        <v>44898</v>
      </c>
      <c r="K595" t="s">
        <v>511</v>
      </c>
    </row>
    <row r="596" spans="1:11">
      <c r="A596">
        <v>595</v>
      </c>
      <c r="B596">
        <v>166552623</v>
      </c>
      <c r="C596" t="s">
        <v>1006</v>
      </c>
      <c r="D596" t="s">
        <v>1042</v>
      </c>
      <c r="E596" s="8" t="s">
        <v>119</v>
      </c>
      <c r="F596" t="s">
        <v>272</v>
      </c>
      <c r="G596" t="s">
        <v>779</v>
      </c>
      <c r="H596" t="s">
        <v>1070</v>
      </c>
      <c r="I596" s="2">
        <v>44888.384496446801</v>
      </c>
      <c r="J596" s="2">
        <v>44895</v>
      </c>
      <c r="K596" t="s">
        <v>511</v>
      </c>
    </row>
    <row r="597" spans="1:11">
      <c r="A597">
        <v>596</v>
      </c>
      <c r="B597">
        <v>166552663</v>
      </c>
      <c r="C597" t="s">
        <v>357</v>
      </c>
      <c r="D597" t="s">
        <v>357</v>
      </c>
      <c r="E597" s="8" t="s">
        <v>119</v>
      </c>
      <c r="F597" t="s">
        <v>272</v>
      </c>
      <c r="G597" t="s">
        <v>779</v>
      </c>
      <c r="H597" t="s">
        <v>1070</v>
      </c>
      <c r="I597" s="2">
        <v>44888.395037650502</v>
      </c>
      <c r="J597" s="2">
        <v>44897</v>
      </c>
      <c r="K597" t="s">
        <v>511</v>
      </c>
    </row>
    <row r="598" spans="1:11">
      <c r="A598">
        <v>597</v>
      </c>
      <c r="B598">
        <v>166843389</v>
      </c>
      <c r="C598" t="s">
        <v>320</v>
      </c>
      <c r="D598" t="s">
        <v>320</v>
      </c>
      <c r="E598" s="8" t="s">
        <v>745</v>
      </c>
      <c r="F598" t="s">
        <v>279</v>
      </c>
      <c r="I598" s="2">
        <v>44888.403586342603</v>
      </c>
      <c r="J598" s="2">
        <v>44895</v>
      </c>
      <c r="K598" t="s">
        <v>512</v>
      </c>
    </row>
    <row r="599" spans="1:11">
      <c r="A599">
        <v>598</v>
      </c>
      <c r="B599">
        <v>166841751</v>
      </c>
      <c r="C599" t="s">
        <v>320</v>
      </c>
      <c r="D599" t="s">
        <v>320</v>
      </c>
      <c r="E599" s="8" t="s">
        <v>466</v>
      </c>
      <c r="F599" t="s">
        <v>274</v>
      </c>
      <c r="G599" t="s">
        <v>491</v>
      </c>
      <c r="H599" t="s">
        <v>1071</v>
      </c>
      <c r="I599" s="2">
        <v>44888.527043784699</v>
      </c>
      <c r="J599" s="2">
        <v>45004</v>
      </c>
      <c r="K599" t="s">
        <v>514</v>
      </c>
    </row>
    <row r="600" spans="1:11">
      <c r="A600">
        <v>599</v>
      </c>
      <c r="B600">
        <v>168099971</v>
      </c>
      <c r="C600" t="s">
        <v>1007</v>
      </c>
      <c r="D600" t="s">
        <v>1042</v>
      </c>
      <c r="E600" s="8" t="s">
        <v>238</v>
      </c>
      <c r="F600" t="s">
        <v>272</v>
      </c>
      <c r="G600" t="s">
        <v>491</v>
      </c>
      <c r="H600" t="s">
        <v>1071</v>
      </c>
      <c r="I600" s="2">
        <v>44888.5806739236</v>
      </c>
      <c r="J600" s="2">
        <v>44914</v>
      </c>
      <c r="K600" t="s">
        <v>512</v>
      </c>
    </row>
    <row r="601" spans="1:11">
      <c r="A601">
        <v>600</v>
      </c>
      <c r="B601">
        <v>166551739</v>
      </c>
      <c r="C601" t="s">
        <v>357</v>
      </c>
      <c r="D601" t="s">
        <v>357</v>
      </c>
      <c r="E601" s="8" t="s">
        <v>431</v>
      </c>
      <c r="F601" t="s">
        <v>272</v>
      </c>
      <c r="G601" t="s">
        <v>491</v>
      </c>
      <c r="H601" t="s">
        <v>1071</v>
      </c>
      <c r="I601" s="2">
        <v>44888.669776585601</v>
      </c>
      <c r="J601" s="2">
        <v>44978</v>
      </c>
      <c r="K601" t="s">
        <v>513</v>
      </c>
    </row>
    <row r="602" spans="1:11">
      <c r="A602">
        <v>601</v>
      </c>
      <c r="B602">
        <v>166552683</v>
      </c>
      <c r="C602" t="s">
        <v>315</v>
      </c>
      <c r="D602" t="s">
        <v>363</v>
      </c>
      <c r="E602" s="8" t="s">
        <v>70</v>
      </c>
      <c r="F602" t="s">
        <v>272</v>
      </c>
      <c r="G602" t="s">
        <v>779</v>
      </c>
      <c r="H602" t="s">
        <v>1070</v>
      </c>
      <c r="I602" s="2">
        <v>44888.778197800901</v>
      </c>
      <c r="J602" s="2">
        <v>44895</v>
      </c>
      <c r="K602" t="s">
        <v>510</v>
      </c>
    </row>
    <row r="603" spans="1:11">
      <c r="A603">
        <v>602</v>
      </c>
      <c r="B603">
        <v>169596424</v>
      </c>
      <c r="C603" t="s">
        <v>917</v>
      </c>
      <c r="D603" t="s">
        <v>1042</v>
      </c>
      <c r="E603" s="8" t="s">
        <v>149</v>
      </c>
      <c r="F603" t="s">
        <v>274</v>
      </c>
      <c r="G603" t="s">
        <v>779</v>
      </c>
      <c r="H603" t="s">
        <v>1070</v>
      </c>
      <c r="I603" s="2">
        <v>44888.880942210701</v>
      </c>
      <c r="J603" s="2">
        <v>44974</v>
      </c>
      <c r="K603" t="s">
        <v>511</v>
      </c>
    </row>
    <row r="604" spans="1:11">
      <c r="A604">
        <v>603</v>
      </c>
      <c r="B604">
        <v>166553431</v>
      </c>
      <c r="C604" t="s">
        <v>678</v>
      </c>
      <c r="D604" t="s">
        <v>678</v>
      </c>
      <c r="E604" s="8" t="s">
        <v>730</v>
      </c>
      <c r="F604" t="s">
        <v>1108</v>
      </c>
      <c r="G604" t="s">
        <v>779</v>
      </c>
      <c r="H604" t="s">
        <v>1070</v>
      </c>
      <c r="I604" s="2">
        <v>44889.907270601798</v>
      </c>
      <c r="J604" s="2">
        <v>44965</v>
      </c>
      <c r="K604" t="s">
        <v>511</v>
      </c>
    </row>
    <row r="605" spans="1:11">
      <c r="A605">
        <v>604</v>
      </c>
      <c r="B605">
        <v>166553387</v>
      </c>
      <c r="D605" t="s">
        <v>1108</v>
      </c>
      <c r="E605" s="8" t="s">
        <v>118</v>
      </c>
      <c r="F605" t="s">
        <v>272</v>
      </c>
      <c r="G605" t="s">
        <v>779</v>
      </c>
      <c r="H605" t="s">
        <v>1070</v>
      </c>
      <c r="I605" s="2">
        <v>44889.924411076398</v>
      </c>
      <c r="J605" s="2">
        <v>44893</v>
      </c>
      <c r="K605" t="s">
        <v>511</v>
      </c>
    </row>
    <row r="606" spans="1:11">
      <c r="A606">
        <v>605</v>
      </c>
      <c r="B606">
        <v>166551711</v>
      </c>
      <c r="C606" t="s">
        <v>342</v>
      </c>
      <c r="D606" t="s">
        <v>1068</v>
      </c>
      <c r="E606" s="8" t="s">
        <v>424</v>
      </c>
      <c r="F606" t="s">
        <v>272</v>
      </c>
      <c r="G606" t="s">
        <v>491</v>
      </c>
      <c r="H606" t="s">
        <v>1071</v>
      </c>
      <c r="I606" s="2">
        <v>44890.292291088001</v>
      </c>
      <c r="J606" s="2">
        <v>44943</v>
      </c>
      <c r="K606" t="s">
        <v>512</v>
      </c>
    </row>
    <row r="607" spans="1:11">
      <c r="A607">
        <v>606</v>
      </c>
      <c r="B607">
        <v>166552563</v>
      </c>
      <c r="C607" t="s">
        <v>303</v>
      </c>
      <c r="D607" t="s">
        <v>303</v>
      </c>
      <c r="E607" s="8" t="s">
        <v>81</v>
      </c>
      <c r="F607" t="s">
        <v>272</v>
      </c>
      <c r="G607" t="s">
        <v>779</v>
      </c>
      <c r="H607" t="s">
        <v>1070</v>
      </c>
      <c r="I607" s="2">
        <v>44890.707238391202</v>
      </c>
      <c r="J607" s="2">
        <v>44895</v>
      </c>
      <c r="K607" t="s">
        <v>510</v>
      </c>
    </row>
    <row r="608" spans="1:11">
      <c r="A608">
        <v>607</v>
      </c>
      <c r="B608">
        <v>166552561</v>
      </c>
      <c r="C608" t="s">
        <v>357</v>
      </c>
      <c r="D608" t="s">
        <v>357</v>
      </c>
      <c r="E608" s="8" t="s">
        <v>82</v>
      </c>
      <c r="F608" t="s">
        <v>272</v>
      </c>
      <c r="G608" t="s">
        <v>779</v>
      </c>
      <c r="H608" t="s">
        <v>1070</v>
      </c>
      <c r="I608" s="2">
        <v>44890.713333333297</v>
      </c>
      <c r="J608" s="2">
        <v>44895</v>
      </c>
      <c r="K608" t="s">
        <v>510</v>
      </c>
    </row>
    <row r="609" spans="1:11">
      <c r="A609">
        <v>608</v>
      </c>
      <c r="B609">
        <v>168101018</v>
      </c>
      <c r="C609" t="s">
        <v>362</v>
      </c>
      <c r="D609" t="s">
        <v>1042</v>
      </c>
      <c r="E609" s="8" t="s">
        <v>155</v>
      </c>
      <c r="F609" t="s">
        <v>272</v>
      </c>
      <c r="G609" t="s">
        <v>779</v>
      </c>
      <c r="H609" t="s">
        <v>1070</v>
      </c>
      <c r="I609" s="2">
        <v>44890.886637002302</v>
      </c>
      <c r="J609" s="2">
        <v>44982</v>
      </c>
      <c r="K609" t="s">
        <v>511</v>
      </c>
    </row>
    <row r="610" spans="1:11">
      <c r="A610">
        <v>609</v>
      </c>
      <c r="B610">
        <v>166551333</v>
      </c>
      <c r="C610" t="s">
        <v>377</v>
      </c>
      <c r="D610" t="s">
        <v>1041</v>
      </c>
      <c r="E610" s="8" t="s">
        <v>9</v>
      </c>
      <c r="F610" t="s">
        <v>272</v>
      </c>
      <c r="G610" t="s">
        <v>499</v>
      </c>
      <c r="H610" t="s">
        <v>1070</v>
      </c>
      <c r="I610" s="2">
        <v>44893.663865358802</v>
      </c>
      <c r="J610" s="2">
        <v>45036</v>
      </c>
      <c r="K610" t="s">
        <v>514</v>
      </c>
    </row>
    <row r="611" spans="1:11">
      <c r="A611">
        <v>610</v>
      </c>
      <c r="B611">
        <v>169597426</v>
      </c>
      <c r="C611" t="s">
        <v>357</v>
      </c>
      <c r="D611" t="s">
        <v>357</v>
      </c>
      <c r="E611" s="8" t="s">
        <v>238</v>
      </c>
      <c r="F611" t="s">
        <v>272</v>
      </c>
      <c r="G611" t="s">
        <v>491</v>
      </c>
      <c r="H611" t="s">
        <v>1071</v>
      </c>
      <c r="I611" s="2">
        <v>44893.680226354198</v>
      </c>
      <c r="J611" s="2">
        <v>44913</v>
      </c>
      <c r="K611" t="s">
        <v>512</v>
      </c>
    </row>
    <row r="612" spans="1:11">
      <c r="A612">
        <v>611</v>
      </c>
      <c r="B612">
        <v>169597246</v>
      </c>
      <c r="C612" t="s">
        <v>978</v>
      </c>
      <c r="D612" t="s">
        <v>363</v>
      </c>
      <c r="E612" s="8" t="s">
        <v>230</v>
      </c>
      <c r="F612" t="s">
        <v>279</v>
      </c>
      <c r="G612" t="s">
        <v>491</v>
      </c>
      <c r="H612" t="s">
        <v>1071</v>
      </c>
      <c r="I612" s="2">
        <v>44893.703099733801</v>
      </c>
      <c r="J612" s="2">
        <v>44912</v>
      </c>
      <c r="K612" t="s">
        <v>512</v>
      </c>
    </row>
    <row r="613" spans="1:11">
      <c r="A613">
        <v>612</v>
      </c>
      <c r="B613">
        <v>159076680</v>
      </c>
      <c r="C613" t="s">
        <v>455</v>
      </c>
      <c r="D613" t="s">
        <v>1068</v>
      </c>
      <c r="E613" s="8" t="s">
        <v>462</v>
      </c>
      <c r="F613" t="s">
        <v>273</v>
      </c>
      <c r="G613" t="s">
        <v>491</v>
      </c>
      <c r="H613" t="s">
        <v>1071</v>
      </c>
      <c r="I613" s="2">
        <v>44893.705882905102</v>
      </c>
      <c r="J613" s="2">
        <v>45005</v>
      </c>
      <c r="K613" t="s">
        <v>514</v>
      </c>
    </row>
    <row r="614" spans="1:11">
      <c r="A614">
        <v>613</v>
      </c>
      <c r="B614">
        <v>143058814</v>
      </c>
      <c r="C614" t="s">
        <v>330</v>
      </c>
      <c r="D614" t="s">
        <v>1068</v>
      </c>
      <c r="E614" s="8" t="s">
        <v>101</v>
      </c>
      <c r="F614" t="s">
        <v>272</v>
      </c>
      <c r="G614" t="s">
        <v>779</v>
      </c>
      <c r="H614" t="s">
        <v>1070</v>
      </c>
      <c r="I614" s="2">
        <v>44893.828615590297</v>
      </c>
      <c r="J614" s="2">
        <v>44895</v>
      </c>
      <c r="K614" t="s">
        <v>511</v>
      </c>
    </row>
    <row r="615" spans="1:11">
      <c r="A615">
        <v>614</v>
      </c>
      <c r="B615">
        <v>166843589</v>
      </c>
      <c r="C615" t="s">
        <v>320</v>
      </c>
      <c r="D615" t="s">
        <v>320</v>
      </c>
      <c r="E615" s="8" t="s">
        <v>183</v>
      </c>
      <c r="F615" t="s">
        <v>272</v>
      </c>
      <c r="G615" t="s">
        <v>504</v>
      </c>
      <c r="H615" t="s">
        <v>1070</v>
      </c>
      <c r="I615" s="2">
        <v>44893.896994594899</v>
      </c>
      <c r="J615" s="2">
        <v>44895</v>
      </c>
      <c r="K615" t="s">
        <v>512</v>
      </c>
    </row>
    <row r="616" spans="1:11">
      <c r="A616">
        <v>615</v>
      </c>
      <c r="B616">
        <v>144180896</v>
      </c>
      <c r="C616" t="s">
        <v>336</v>
      </c>
      <c r="D616" t="s">
        <v>363</v>
      </c>
      <c r="E616" s="8" t="s">
        <v>115</v>
      </c>
      <c r="F616" t="s">
        <v>272</v>
      </c>
      <c r="G616" t="s">
        <v>779</v>
      </c>
      <c r="H616" t="s">
        <v>1070</v>
      </c>
      <c r="I616" s="2">
        <v>44894.082664155103</v>
      </c>
      <c r="J616" s="2">
        <v>44895</v>
      </c>
      <c r="K616" t="s">
        <v>511</v>
      </c>
    </row>
    <row r="617" spans="1:11">
      <c r="A617">
        <v>616</v>
      </c>
      <c r="B617">
        <v>166552635</v>
      </c>
      <c r="C617" t="s">
        <v>310</v>
      </c>
      <c r="D617" t="s">
        <v>1068</v>
      </c>
      <c r="E617" s="8" t="s">
        <v>62</v>
      </c>
      <c r="F617" t="s">
        <v>272</v>
      </c>
      <c r="G617" t="s">
        <v>779</v>
      </c>
      <c r="H617" t="s">
        <v>1070</v>
      </c>
      <c r="I617" s="2">
        <v>44894.142058101803</v>
      </c>
      <c r="J617" s="2">
        <v>44895</v>
      </c>
      <c r="K617" t="s">
        <v>510</v>
      </c>
    </row>
    <row r="618" spans="1:11">
      <c r="A618">
        <v>617</v>
      </c>
      <c r="B618">
        <v>166841423</v>
      </c>
      <c r="C618" t="s">
        <v>300</v>
      </c>
      <c r="D618" t="s">
        <v>1042</v>
      </c>
      <c r="E618" s="8" t="s">
        <v>37</v>
      </c>
      <c r="F618" t="s">
        <v>272</v>
      </c>
      <c r="G618" t="s">
        <v>779</v>
      </c>
      <c r="H618" t="s">
        <v>1070</v>
      </c>
      <c r="I618" s="2">
        <v>44894.5946990394</v>
      </c>
      <c r="J618" s="2">
        <v>44895</v>
      </c>
      <c r="K618" t="s">
        <v>509</v>
      </c>
    </row>
    <row r="619" spans="1:11">
      <c r="A619">
        <v>618</v>
      </c>
      <c r="B619">
        <v>166552583</v>
      </c>
      <c r="C619" t="s">
        <v>975</v>
      </c>
      <c r="D619" t="s">
        <v>363</v>
      </c>
      <c r="E619" s="8" t="s">
        <v>77</v>
      </c>
      <c r="F619" t="s">
        <v>274</v>
      </c>
      <c r="G619" t="s">
        <v>779</v>
      </c>
      <c r="H619" t="s">
        <v>1070</v>
      </c>
      <c r="I619" s="2">
        <v>44894.621821840301</v>
      </c>
      <c r="J619" s="2">
        <v>44895</v>
      </c>
      <c r="K619" t="s">
        <v>510</v>
      </c>
    </row>
    <row r="620" spans="1:11">
      <c r="A620">
        <v>619</v>
      </c>
      <c r="B620">
        <v>166552565</v>
      </c>
      <c r="C620" t="s">
        <v>357</v>
      </c>
      <c r="D620" t="s">
        <v>357</v>
      </c>
      <c r="E620" s="8" t="s">
        <v>746</v>
      </c>
      <c r="F620" t="s">
        <v>272</v>
      </c>
      <c r="G620" t="s">
        <v>779</v>
      </c>
      <c r="H620" t="s">
        <v>1070</v>
      </c>
      <c r="I620" s="2">
        <v>44894.622949965298</v>
      </c>
      <c r="J620" s="2">
        <v>44895</v>
      </c>
      <c r="K620" t="s">
        <v>510</v>
      </c>
    </row>
    <row r="621" spans="1:11">
      <c r="A621">
        <v>620</v>
      </c>
      <c r="B621">
        <v>166841779</v>
      </c>
      <c r="D621" t="s">
        <v>1108</v>
      </c>
      <c r="E621" s="8" t="s">
        <v>163</v>
      </c>
      <c r="F621" t="s">
        <v>272</v>
      </c>
      <c r="I621" s="2">
        <v>44894.643668518504</v>
      </c>
      <c r="J621" s="2">
        <v>44935</v>
      </c>
      <c r="K621" t="s">
        <v>512</v>
      </c>
    </row>
    <row r="622" spans="1:11">
      <c r="A622">
        <v>621</v>
      </c>
      <c r="B622">
        <v>166843613</v>
      </c>
      <c r="C622" t="s">
        <v>357</v>
      </c>
      <c r="D622" t="s">
        <v>357</v>
      </c>
      <c r="E622" s="8" t="s">
        <v>424</v>
      </c>
      <c r="F622" t="s">
        <v>272</v>
      </c>
      <c r="G622" t="s">
        <v>491</v>
      </c>
      <c r="H622" t="s">
        <v>1071</v>
      </c>
      <c r="I622" s="2">
        <v>44894.645815509299</v>
      </c>
      <c r="J622" s="2">
        <v>44951</v>
      </c>
      <c r="K622" t="s">
        <v>512</v>
      </c>
    </row>
    <row r="623" spans="1:11">
      <c r="A623">
        <v>622</v>
      </c>
      <c r="B623">
        <v>169597090</v>
      </c>
      <c r="C623" t="s">
        <v>357</v>
      </c>
      <c r="D623" t="s">
        <v>357</v>
      </c>
      <c r="E623" s="8" t="s">
        <v>238</v>
      </c>
      <c r="F623" t="s">
        <v>272</v>
      </c>
      <c r="I623" s="2">
        <v>44894.698733715297</v>
      </c>
      <c r="J623" s="2">
        <v>44919</v>
      </c>
      <c r="K623" t="s">
        <v>512</v>
      </c>
    </row>
    <row r="624" spans="1:11">
      <c r="A624">
        <v>623</v>
      </c>
      <c r="B624">
        <v>166551325</v>
      </c>
      <c r="C624" t="s">
        <v>357</v>
      </c>
      <c r="D624" t="s">
        <v>357</v>
      </c>
      <c r="E624" s="8" t="s">
        <v>747</v>
      </c>
      <c r="F624" t="s">
        <v>1108</v>
      </c>
      <c r="G624" t="s">
        <v>499</v>
      </c>
      <c r="H624" t="s">
        <v>1070</v>
      </c>
      <c r="I624" s="2">
        <v>44894.717638773101</v>
      </c>
      <c r="J624" s="2">
        <v>45040</v>
      </c>
      <c r="K624" t="s">
        <v>514</v>
      </c>
    </row>
    <row r="625" spans="1:11">
      <c r="A625">
        <v>624</v>
      </c>
      <c r="B625">
        <v>166557645</v>
      </c>
      <c r="C625" t="s">
        <v>368</v>
      </c>
      <c r="D625" t="s">
        <v>1068</v>
      </c>
      <c r="E625" s="8" t="s">
        <v>89</v>
      </c>
      <c r="F625" t="s">
        <v>1108</v>
      </c>
      <c r="G625" t="s">
        <v>779</v>
      </c>
      <c r="H625" t="s">
        <v>1070</v>
      </c>
      <c r="I625" s="2">
        <v>44894.722352395802</v>
      </c>
      <c r="J625" s="2">
        <v>44895</v>
      </c>
      <c r="K625" t="s">
        <v>511</v>
      </c>
    </row>
    <row r="626" spans="1:11">
      <c r="A626">
        <v>625</v>
      </c>
      <c r="B626">
        <v>136720857</v>
      </c>
      <c r="C626" t="s">
        <v>357</v>
      </c>
      <c r="D626" t="s">
        <v>357</v>
      </c>
      <c r="E626" s="8" t="s">
        <v>202</v>
      </c>
      <c r="F626" t="s">
        <v>1108</v>
      </c>
      <c r="G626" t="s">
        <v>504</v>
      </c>
      <c r="H626" t="s">
        <v>1070</v>
      </c>
      <c r="I626" s="2">
        <v>44894.725122766198</v>
      </c>
      <c r="J626" s="2">
        <v>44895</v>
      </c>
      <c r="K626" t="s">
        <v>512</v>
      </c>
    </row>
    <row r="627" spans="1:11">
      <c r="A627">
        <v>626</v>
      </c>
      <c r="B627">
        <v>136719949</v>
      </c>
      <c r="C627" t="s">
        <v>378</v>
      </c>
      <c r="D627" t="s">
        <v>1041</v>
      </c>
      <c r="E627" s="8" t="s">
        <v>202</v>
      </c>
      <c r="F627" t="s">
        <v>1108</v>
      </c>
      <c r="G627" t="s">
        <v>504</v>
      </c>
      <c r="H627" t="s">
        <v>1070</v>
      </c>
      <c r="I627" s="2">
        <v>44894.732765544002</v>
      </c>
      <c r="J627" s="2">
        <v>44895</v>
      </c>
      <c r="K627" t="s">
        <v>512</v>
      </c>
    </row>
    <row r="628" spans="1:11">
      <c r="A628">
        <v>627</v>
      </c>
      <c r="B628">
        <v>171898183</v>
      </c>
      <c r="D628" t="s">
        <v>1108</v>
      </c>
      <c r="E628" s="8" t="s">
        <v>205</v>
      </c>
      <c r="F628" t="s">
        <v>273</v>
      </c>
      <c r="G628" t="s">
        <v>504</v>
      </c>
      <c r="H628" t="s">
        <v>1070</v>
      </c>
      <c r="I628" s="2">
        <v>44894.760029201403</v>
      </c>
      <c r="J628" s="2">
        <v>44895</v>
      </c>
      <c r="K628" t="s">
        <v>512</v>
      </c>
    </row>
    <row r="629" spans="1:11">
      <c r="A629">
        <v>628</v>
      </c>
      <c r="B629">
        <v>166842767</v>
      </c>
      <c r="C629" t="s">
        <v>678</v>
      </c>
      <c r="D629" t="s">
        <v>678</v>
      </c>
      <c r="E629" s="8" t="s">
        <v>748</v>
      </c>
      <c r="F629" t="s">
        <v>274</v>
      </c>
      <c r="G629" t="s">
        <v>779</v>
      </c>
      <c r="H629" t="s">
        <v>1070</v>
      </c>
      <c r="I629" s="2">
        <v>44894.769132256901</v>
      </c>
      <c r="J629" s="2">
        <v>44895</v>
      </c>
      <c r="K629" t="s">
        <v>510</v>
      </c>
    </row>
    <row r="630" spans="1:11">
      <c r="A630">
        <v>629</v>
      </c>
      <c r="B630">
        <v>166842801</v>
      </c>
      <c r="C630" t="s">
        <v>678</v>
      </c>
      <c r="D630" t="s">
        <v>678</v>
      </c>
      <c r="E630" s="8" t="s">
        <v>56</v>
      </c>
      <c r="F630" t="s">
        <v>272</v>
      </c>
      <c r="G630" t="s">
        <v>779</v>
      </c>
      <c r="H630" t="s">
        <v>1070</v>
      </c>
      <c r="I630" s="2">
        <v>44894.770679016197</v>
      </c>
      <c r="J630" s="2">
        <v>44895</v>
      </c>
      <c r="K630" t="s">
        <v>510</v>
      </c>
    </row>
    <row r="631" spans="1:11">
      <c r="A631">
        <v>630</v>
      </c>
      <c r="B631">
        <v>166842775</v>
      </c>
      <c r="C631" t="s">
        <v>1032</v>
      </c>
      <c r="D631" t="s">
        <v>363</v>
      </c>
      <c r="E631" s="8" t="s">
        <v>54</v>
      </c>
      <c r="F631" t="s">
        <v>272</v>
      </c>
      <c r="G631" t="s">
        <v>779</v>
      </c>
      <c r="H631" t="s">
        <v>1070</v>
      </c>
      <c r="I631" s="2">
        <v>44894.772251307899</v>
      </c>
      <c r="J631" s="2">
        <v>44895</v>
      </c>
      <c r="K631" t="s">
        <v>510</v>
      </c>
    </row>
    <row r="632" spans="1:11">
      <c r="A632">
        <v>631</v>
      </c>
      <c r="B632">
        <v>166842803</v>
      </c>
      <c r="C632" t="s">
        <v>1021</v>
      </c>
      <c r="D632" t="s">
        <v>363</v>
      </c>
      <c r="E632" s="8" t="s">
        <v>53</v>
      </c>
      <c r="F632" t="s">
        <v>274</v>
      </c>
      <c r="G632" t="s">
        <v>779</v>
      </c>
      <c r="H632" t="s">
        <v>1070</v>
      </c>
      <c r="I632" s="2">
        <v>44894.774114583299</v>
      </c>
      <c r="J632" s="2">
        <v>44895</v>
      </c>
      <c r="K632" t="s">
        <v>510</v>
      </c>
    </row>
    <row r="633" spans="1:11">
      <c r="A633">
        <v>632</v>
      </c>
      <c r="B633">
        <v>157993990</v>
      </c>
      <c r="C633" t="s">
        <v>377</v>
      </c>
      <c r="D633" t="s">
        <v>1041</v>
      </c>
      <c r="E633" s="8" t="s">
        <v>202</v>
      </c>
      <c r="F633" t="s">
        <v>1108</v>
      </c>
      <c r="G633" t="s">
        <v>504</v>
      </c>
      <c r="H633" t="s">
        <v>1070</v>
      </c>
      <c r="I633" s="2">
        <v>44894.776478472202</v>
      </c>
      <c r="J633" s="2">
        <v>44895</v>
      </c>
      <c r="K633" t="s">
        <v>512</v>
      </c>
    </row>
    <row r="634" spans="1:11">
      <c r="A634">
        <v>633</v>
      </c>
      <c r="B634">
        <v>166842787</v>
      </c>
      <c r="C634" t="s">
        <v>678</v>
      </c>
      <c r="D634" t="s">
        <v>678</v>
      </c>
      <c r="E634" s="8" t="s">
        <v>54</v>
      </c>
      <c r="F634" t="s">
        <v>272</v>
      </c>
      <c r="G634" t="s">
        <v>779</v>
      </c>
      <c r="H634" t="s">
        <v>1070</v>
      </c>
      <c r="I634" s="2">
        <v>44894.786953321804</v>
      </c>
      <c r="J634" s="2">
        <v>44895</v>
      </c>
      <c r="K634" t="s">
        <v>510</v>
      </c>
    </row>
    <row r="635" spans="1:11">
      <c r="A635">
        <v>634</v>
      </c>
      <c r="B635">
        <v>166551313</v>
      </c>
      <c r="C635" t="s">
        <v>678</v>
      </c>
      <c r="D635" t="s">
        <v>678</v>
      </c>
      <c r="E635" s="8" t="s">
        <v>487</v>
      </c>
      <c r="F635" t="s">
        <v>1108</v>
      </c>
      <c r="G635" t="s">
        <v>499</v>
      </c>
      <c r="H635" t="s">
        <v>1070</v>
      </c>
      <c r="I635" s="2">
        <v>44894.913260381902</v>
      </c>
      <c r="J635" s="2">
        <v>45047</v>
      </c>
      <c r="K635" t="s">
        <v>514</v>
      </c>
    </row>
    <row r="636" spans="1:11">
      <c r="A636">
        <v>635</v>
      </c>
      <c r="B636">
        <v>166841951</v>
      </c>
      <c r="C636" t="s">
        <v>945</v>
      </c>
      <c r="D636" t="s">
        <v>1068</v>
      </c>
      <c r="E636" s="8" t="s">
        <v>161</v>
      </c>
      <c r="F636" t="s">
        <v>272</v>
      </c>
      <c r="I636" s="2">
        <v>44894.919112812502</v>
      </c>
      <c r="J636" s="2">
        <v>44992</v>
      </c>
      <c r="K636" t="s">
        <v>512</v>
      </c>
    </row>
    <row r="637" spans="1:11">
      <c r="A637">
        <v>636</v>
      </c>
      <c r="B637">
        <v>166552581</v>
      </c>
      <c r="C637" t="s">
        <v>1033</v>
      </c>
      <c r="D637" t="s">
        <v>363</v>
      </c>
      <c r="E637" s="8" t="s">
        <v>99</v>
      </c>
      <c r="F637" t="s">
        <v>274</v>
      </c>
      <c r="G637" t="s">
        <v>779</v>
      </c>
      <c r="H637" t="s">
        <v>1070</v>
      </c>
      <c r="I637" s="2">
        <v>44894.927684722199</v>
      </c>
      <c r="J637" s="2">
        <v>44895</v>
      </c>
      <c r="K637" t="s">
        <v>511</v>
      </c>
    </row>
    <row r="638" spans="1:11">
      <c r="A638">
        <v>637</v>
      </c>
      <c r="B638">
        <v>166551315</v>
      </c>
      <c r="C638" t="s">
        <v>320</v>
      </c>
      <c r="D638" t="s">
        <v>320</v>
      </c>
      <c r="E638" s="8" t="s">
        <v>488</v>
      </c>
      <c r="F638" t="s">
        <v>272</v>
      </c>
      <c r="G638" t="s">
        <v>499</v>
      </c>
      <c r="H638" t="s">
        <v>1070</v>
      </c>
      <c r="I638" s="2">
        <v>44894.9359398495</v>
      </c>
      <c r="J638" s="2">
        <v>45049</v>
      </c>
      <c r="K638" t="s">
        <v>514</v>
      </c>
    </row>
    <row r="639" spans="1:11">
      <c r="A639">
        <v>638</v>
      </c>
      <c r="B639">
        <v>166553407</v>
      </c>
      <c r="C639" t="s">
        <v>1034</v>
      </c>
      <c r="D639" t="s">
        <v>363</v>
      </c>
      <c r="E639" s="8" t="s">
        <v>69</v>
      </c>
      <c r="F639" t="s">
        <v>272</v>
      </c>
      <c r="G639" t="s">
        <v>779</v>
      </c>
      <c r="H639" t="s">
        <v>1070</v>
      </c>
      <c r="I639" s="2">
        <v>44895.398186423598</v>
      </c>
      <c r="J639" s="2">
        <v>44986</v>
      </c>
      <c r="K639" t="s">
        <v>510</v>
      </c>
    </row>
    <row r="640" spans="1:11">
      <c r="A640">
        <v>639</v>
      </c>
      <c r="B640">
        <v>169597105</v>
      </c>
      <c r="C640" t="s">
        <v>357</v>
      </c>
      <c r="D640" t="s">
        <v>357</v>
      </c>
      <c r="E640" s="8" t="s">
        <v>238</v>
      </c>
      <c r="F640" t="s">
        <v>272</v>
      </c>
      <c r="I640" s="2">
        <v>44895.587056018499</v>
      </c>
      <c r="J640" s="2">
        <v>44918</v>
      </c>
      <c r="K640" t="s">
        <v>512</v>
      </c>
    </row>
    <row r="641" spans="1:11">
      <c r="A641">
        <v>640</v>
      </c>
      <c r="B641">
        <v>166842339</v>
      </c>
      <c r="C641" t="s">
        <v>373</v>
      </c>
      <c r="D641" t="s">
        <v>363</v>
      </c>
      <c r="E641" s="8" t="s">
        <v>179</v>
      </c>
      <c r="F641" t="s">
        <v>274</v>
      </c>
      <c r="G641" t="s">
        <v>779</v>
      </c>
      <c r="H641" t="s">
        <v>1070</v>
      </c>
      <c r="I641" s="2">
        <v>44895.588596145797</v>
      </c>
      <c r="J641" s="2">
        <v>44957</v>
      </c>
      <c r="K641" t="s">
        <v>512</v>
      </c>
    </row>
    <row r="642" spans="1:11">
      <c r="A642">
        <v>641</v>
      </c>
      <c r="B642">
        <v>169596490</v>
      </c>
      <c r="C642" t="s">
        <v>320</v>
      </c>
      <c r="D642" t="s">
        <v>320</v>
      </c>
      <c r="E642" s="8" t="s">
        <v>238</v>
      </c>
      <c r="F642" t="s">
        <v>272</v>
      </c>
      <c r="G642" t="s">
        <v>491</v>
      </c>
      <c r="H642" t="s">
        <v>1071</v>
      </c>
      <c r="I642" s="2">
        <v>44895.589783020798</v>
      </c>
      <c r="J642" s="2">
        <v>44920</v>
      </c>
      <c r="K642" t="s">
        <v>512</v>
      </c>
    </row>
    <row r="643" spans="1:11">
      <c r="A643">
        <v>642</v>
      </c>
      <c r="B643">
        <v>165377620</v>
      </c>
      <c r="C643" t="s">
        <v>357</v>
      </c>
      <c r="D643" t="s">
        <v>357</v>
      </c>
      <c r="E643" s="8" t="s">
        <v>490</v>
      </c>
      <c r="F643" t="s">
        <v>272</v>
      </c>
      <c r="G643" t="s">
        <v>491</v>
      </c>
      <c r="H643" t="s">
        <v>1071</v>
      </c>
      <c r="I643" s="2">
        <v>44895.627032557903</v>
      </c>
      <c r="J643" s="2">
        <v>45011</v>
      </c>
      <c r="K643" t="s">
        <v>514</v>
      </c>
    </row>
    <row r="644" spans="1:11">
      <c r="A644">
        <v>643</v>
      </c>
      <c r="B644">
        <v>166841745</v>
      </c>
      <c r="C644" t="s">
        <v>465</v>
      </c>
      <c r="D644" t="s">
        <v>1068</v>
      </c>
      <c r="E644" s="8" t="s">
        <v>466</v>
      </c>
      <c r="F644" t="s">
        <v>274</v>
      </c>
      <c r="G644" t="s">
        <v>491</v>
      </c>
      <c r="H644" t="s">
        <v>1071</v>
      </c>
      <c r="I644" s="2">
        <v>44895.6295608449</v>
      </c>
      <c r="J644" s="2">
        <v>45010</v>
      </c>
      <c r="K644" t="s">
        <v>514</v>
      </c>
    </row>
    <row r="645" spans="1:11">
      <c r="A645">
        <v>644</v>
      </c>
      <c r="B645">
        <v>148461492</v>
      </c>
      <c r="C645" t="s">
        <v>987</v>
      </c>
      <c r="D645" t="s">
        <v>1042</v>
      </c>
      <c r="E645" s="8" t="s">
        <v>115</v>
      </c>
      <c r="F645" t="s">
        <v>272</v>
      </c>
      <c r="G645" t="s">
        <v>779</v>
      </c>
      <c r="H645" t="s">
        <v>1070</v>
      </c>
      <c r="I645" s="2">
        <v>44895.641741400497</v>
      </c>
      <c r="J645" s="2">
        <v>44986</v>
      </c>
      <c r="K645" t="s">
        <v>511</v>
      </c>
    </row>
    <row r="646" spans="1:11">
      <c r="A646">
        <v>645</v>
      </c>
      <c r="B646">
        <v>169597183</v>
      </c>
      <c r="C646" t="s">
        <v>357</v>
      </c>
      <c r="D646" t="s">
        <v>357</v>
      </c>
      <c r="E646" s="8" t="s">
        <v>774</v>
      </c>
      <c r="F646" t="s">
        <v>272</v>
      </c>
      <c r="G646" t="s">
        <v>491</v>
      </c>
      <c r="H646" t="s">
        <v>1071</v>
      </c>
      <c r="I646" s="2">
        <v>44895.655776851803</v>
      </c>
      <c r="J646" s="2">
        <v>44928</v>
      </c>
      <c r="K646" t="s">
        <v>512</v>
      </c>
    </row>
    <row r="647" spans="1:11">
      <c r="A647">
        <v>646</v>
      </c>
      <c r="B647">
        <v>169597177</v>
      </c>
      <c r="C647" t="s">
        <v>357</v>
      </c>
      <c r="D647" t="s">
        <v>357</v>
      </c>
      <c r="E647" s="8" t="s">
        <v>243</v>
      </c>
      <c r="F647" t="s">
        <v>272</v>
      </c>
      <c r="G647" t="s">
        <v>491</v>
      </c>
      <c r="H647" t="s">
        <v>1071</v>
      </c>
      <c r="I647" s="2">
        <v>44895.657190740698</v>
      </c>
      <c r="J647" s="2">
        <v>44926</v>
      </c>
      <c r="K647" t="s">
        <v>512</v>
      </c>
    </row>
    <row r="648" spans="1:11">
      <c r="A648">
        <v>647</v>
      </c>
      <c r="B648">
        <v>169597447</v>
      </c>
      <c r="C648" t="s">
        <v>396</v>
      </c>
      <c r="D648" t="s">
        <v>363</v>
      </c>
      <c r="E648" s="8" t="s">
        <v>774</v>
      </c>
      <c r="F648" t="s">
        <v>272</v>
      </c>
      <c r="G648" t="s">
        <v>491</v>
      </c>
      <c r="H648" t="s">
        <v>1071</v>
      </c>
      <c r="I648" s="2">
        <v>44895.660535682902</v>
      </c>
      <c r="J648" s="2">
        <v>44927</v>
      </c>
      <c r="K648" t="s">
        <v>512</v>
      </c>
    </row>
    <row r="649" spans="1:11">
      <c r="A649">
        <v>648</v>
      </c>
      <c r="B649">
        <v>157993294</v>
      </c>
      <c r="C649" t="s">
        <v>320</v>
      </c>
      <c r="D649" t="s">
        <v>320</v>
      </c>
      <c r="E649" s="8" t="s">
        <v>115</v>
      </c>
      <c r="F649" t="s">
        <v>272</v>
      </c>
      <c r="G649" t="s">
        <v>779</v>
      </c>
      <c r="H649" t="s">
        <v>1070</v>
      </c>
      <c r="I649" s="2">
        <v>44895.665308796299</v>
      </c>
      <c r="J649" s="2">
        <v>44986</v>
      </c>
      <c r="K649" t="s">
        <v>511</v>
      </c>
    </row>
    <row r="650" spans="1:11">
      <c r="A650">
        <v>649</v>
      </c>
      <c r="B650">
        <v>166552559</v>
      </c>
      <c r="C650" t="s">
        <v>482</v>
      </c>
      <c r="D650" t="s">
        <v>1068</v>
      </c>
      <c r="E650" s="8" t="s">
        <v>82</v>
      </c>
      <c r="F650" t="s">
        <v>272</v>
      </c>
      <c r="G650" t="s">
        <v>779</v>
      </c>
      <c r="H650" t="s">
        <v>1070</v>
      </c>
      <c r="I650" s="2">
        <v>44895.709345023097</v>
      </c>
      <c r="J650" s="2">
        <v>44986</v>
      </c>
      <c r="K650" t="s">
        <v>510</v>
      </c>
    </row>
    <row r="651" spans="1:11">
      <c r="A651">
        <v>650</v>
      </c>
      <c r="B651">
        <v>169597168</v>
      </c>
      <c r="C651" t="s">
        <v>357</v>
      </c>
      <c r="D651" t="s">
        <v>357</v>
      </c>
      <c r="E651" s="8" t="s">
        <v>226</v>
      </c>
      <c r="F651" t="s">
        <v>272</v>
      </c>
      <c r="G651" t="s">
        <v>491</v>
      </c>
      <c r="H651" t="s">
        <v>1071</v>
      </c>
      <c r="I651" s="2">
        <v>44895.717064004602</v>
      </c>
      <c r="J651" s="2">
        <v>44910</v>
      </c>
      <c r="K651" t="s">
        <v>512</v>
      </c>
    </row>
    <row r="652" spans="1:11">
      <c r="A652">
        <v>651</v>
      </c>
      <c r="B652">
        <v>169597036</v>
      </c>
      <c r="C652" t="s">
        <v>939</v>
      </c>
      <c r="D652" t="s">
        <v>401</v>
      </c>
      <c r="E652" s="8" t="s">
        <v>230</v>
      </c>
      <c r="F652" t="s">
        <v>279</v>
      </c>
      <c r="G652" t="s">
        <v>491</v>
      </c>
      <c r="H652" t="s">
        <v>1071</v>
      </c>
      <c r="I652" s="2">
        <v>44895.730062997703</v>
      </c>
      <c r="J652" s="2">
        <v>44911</v>
      </c>
      <c r="K652" t="s">
        <v>512</v>
      </c>
    </row>
    <row r="653" spans="1:11">
      <c r="A653">
        <v>652</v>
      </c>
      <c r="B653">
        <v>168100613</v>
      </c>
      <c r="C653" t="s">
        <v>1035</v>
      </c>
      <c r="D653" t="s">
        <v>363</v>
      </c>
      <c r="E653" s="8" t="s">
        <v>132</v>
      </c>
      <c r="F653" t="s">
        <v>1108</v>
      </c>
      <c r="G653" t="s">
        <v>779</v>
      </c>
      <c r="H653" t="s">
        <v>1070</v>
      </c>
      <c r="I653" s="2">
        <v>44895.755720682901</v>
      </c>
      <c r="J653" s="2">
        <v>44929</v>
      </c>
      <c r="K653" t="s">
        <v>511</v>
      </c>
    </row>
    <row r="654" spans="1:11">
      <c r="A654">
        <v>653</v>
      </c>
      <c r="B654">
        <v>166551361</v>
      </c>
      <c r="D654" t="s">
        <v>1108</v>
      </c>
      <c r="E654" s="8" t="s">
        <v>56</v>
      </c>
      <c r="F654" t="s">
        <v>272</v>
      </c>
      <c r="G654" t="s">
        <v>779</v>
      </c>
      <c r="H654" t="s">
        <v>1070</v>
      </c>
      <c r="I654" s="2">
        <v>44895.793690011596</v>
      </c>
      <c r="J654" s="2">
        <v>44986</v>
      </c>
      <c r="K654" t="s">
        <v>510</v>
      </c>
    </row>
    <row r="655" spans="1:11">
      <c r="A655">
        <v>654</v>
      </c>
      <c r="B655">
        <v>157993042</v>
      </c>
      <c r="C655" t="s">
        <v>678</v>
      </c>
      <c r="D655" t="s">
        <v>678</v>
      </c>
      <c r="E655" s="8" t="s">
        <v>56</v>
      </c>
      <c r="F655" t="s">
        <v>272</v>
      </c>
      <c r="G655" t="s">
        <v>779</v>
      </c>
      <c r="H655" t="s">
        <v>1070</v>
      </c>
      <c r="I655" s="2">
        <v>44895.812178669003</v>
      </c>
      <c r="J655" s="2">
        <v>44986</v>
      </c>
      <c r="K655" t="s">
        <v>510</v>
      </c>
    </row>
    <row r="656" spans="1:11">
      <c r="A656">
        <v>655</v>
      </c>
      <c r="B656">
        <v>166549985</v>
      </c>
      <c r="C656" t="s">
        <v>940</v>
      </c>
      <c r="D656" t="s">
        <v>401</v>
      </c>
      <c r="E656" s="8" t="s">
        <v>198</v>
      </c>
      <c r="F656" t="s">
        <v>272</v>
      </c>
      <c r="G656" t="s">
        <v>504</v>
      </c>
      <c r="H656" t="s">
        <v>1070</v>
      </c>
      <c r="I656" s="2">
        <v>44895.9500042824</v>
      </c>
      <c r="J656" s="2">
        <v>44986</v>
      </c>
      <c r="K656" t="s">
        <v>512</v>
      </c>
    </row>
    <row r="657" spans="1:11">
      <c r="A657">
        <v>656</v>
      </c>
      <c r="B657">
        <v>166549987</v>
      </c>
      <c r="C657" t="s">
        <v>320</v>
      </c>
      <c r="D657" t="s">
        <v>320</v>
      </c>
      <c r="E657" s="8" t="s">
        <v>198</v>
      </c>
      <c r="F657" t="s">
        <v>272</v>
      </c>
      <c r="G657" t="s">
        <v>504</v>
      </c>
      <c r="H657" t="s">
        <v>1070</v>
      </c>
      <c r="I657" s="2">
        <v>44895.9500042824</v>
      </c>
      <c r="J657" s="2">
        <v>44986</v>
      </c>
      <c r="K657" t="s">
        <v>512</v>
      </c>
    </row>
    <row r="658" spans="1:11">
      <c r="A658">
        <v>657</v>
      </c>
      <c r="B658">
        <v>166551713</v>
      </c>
      <c r="C658" t="s">
        <v>357</v>
      </c>
      <c r="D658" t="s">
        <v>357</v>
      </c>
      <c r="E658" s="8" t="s">
        <v>424</v>
      </c>
      <c r="F658" t="s">
        <v>272</v>
      </c>
      <c r="G658" t="s">
        <v>491</v>
      </c>
      <c r="H658" t="s">
        <v>1071</v>
      </c>
      <c r="I658" s="2">
        <v>44896.003965080999</v>
      </c>
      <c r="J658" s="2">
        <v>44954</v>
      </c>
      <c r="K658" t="s">
        <v>513</v>
      </c>
    </row>
    <row r="659" spans="1:11">
      <c r="A659">
        <v>658</v>
      </c>
      <c r="B659">
        <v>166549273</v>
      </c>
      <c r="C659" t="s">
        <v>306</v>
      </c>
      <c r="D659" t="s">
        <v>306</v>
      </c>
      <c r="E659" s="8" t="s">
        <v>483</v>
      </c>
      <c r="F659" t="s">
        <v>1108</v>
      </c>
      <c r="G659" t="s">
        <v>499</v>
      </c>
      <c r="H659" t="s">
        <v>1070</v>
      </c>
      <c r="I659" s="2">
        <v>44896.282986342601</v>
      </c>
      <c r="J659" s="2">
        <v>45041</v>
      </c>
      <c r="K659" t="s">
        <v>514</v>
      </c>
    </row>
    <row r="660" spans="1:11">
      <c r="A660">
        <v>659</v>
      </c>
      <c r="B660">
        <v>166551461</v>
      </c>
      <c r="C660" t="s">
        <v>678</v>
      </c>
      <c r="D660" t="s">
        <v>678</v>
      </c>
      <c r="E660" s="8" t="s">
        <v>149</v>
      </c>
      <c r="F660" t="s">
        <v>274</v>
      </c>
      <c r="G660" t="s">
        <v>779</v>
      </c>
      <c r="H660" t="s">
        <v>1070</v>
      </c>
      <c r="I660" s="2">
        <v>44896.467174803198</v>
      </c>
      <c r="J660" s="2">
        <v>44971</v>
      </c>
      <c r="K660" t="s">
        <v>511</v>
      </c>
    </row>
    <row r="661" spans="1:11">
      <c r="A661">
        <v>660</v>
      </c>
      <c r="B661">
        <v>169596421</v>
      </c>
      <c r="C661" t="s">
        <v>357</v>
      </c>
      <c r="D661" t="s">
        <v>357</v>
      </c>
      <c r="E661" s="8" t="s">
        <v>154</v>
      </c>
      <c r="F661" t="s">
        <v>272</v>
      </c>
      <c r="G661" t="s">
        <v>779</v>
      </c>
      <c r="H661" t="s">
        <v>1070</v>
      </c>
      <c r="I661" s="2">
        <v>44896.581293136602</v>
      </c>
      <c r="J661" s="2">
        <v>44980</v>
      </c>
      <c r="K661" t="s">
        <v>511</v>
      </c>
    </row>
    <row r="662" spans="1:11">
      <c r="A662">
        <v>661</v>
      </c>
      <c r="B662">
        <v>166557685</v>
      </c>
      <c r="C662" t="s">
        <v>313</v>
      </c>
      <c r="D662" t="s">
        <v>363</v>
      </c>
      <c r="E662" s="8" t="s">
        <v>65</v>
      </c>
      <c r="F662" t="s">
        <v>272</v>
      </c>
      <c r="G662" t="s">
        <v>779</v>
      </c>
      <c r="H662" t="s">
        <v>1070</v>
      </c>
      <c r="I662" s="2">
        <v>44896.583558136597</v>
      </c>
      <c r="J662" s="2">
        <v>44986</v>
      </c>
      <c r="K662" t="s">
        <v>510</v>
      </c>
    </row>
    <row r="663" spans="1:11">
      <c r="A663">
        <v>662</v>
      </c>
      <c r="B663">
        <v>168101066</v>
      </c>
      <c r="C663" t="s">
        <v>357</v>
      </c>
      <c r="D663" t="s">
        <v>357</v>
      </c>
      <c r="E663" s="8" t="s">
        <v>154</v>
      </c>
      <c r="F663" t="s">
        <v>272</v>
      </c>
      <c r="G663" t="s">
        <v>779</v>
      </c>
      <c r="H663" t="s">
        <v>1070</v>
      </c>
      <c r="I663" s="2">
        <v>44896.583573807897</v>
      </c>
      <c r="J663" s="2">
        <v>44981</v>
      </c>
      <c r="K663" t="s">
        <v>511</v>
      </c>
    </row>
    <row r="664" spans="1:11">
      <c r="A664">
        <v>663</v>
      </c>
      <c r="B664">
        <v>166557653</v>
      </c>
      <c r="C664" t="s">
        <v>357</v>
      </c>
      <c r="D664" t="s">
        <v>357</v>
      </c>
      <c r="E664" s="8" t="s">
        <v>64</v>
      </c>
      <c r="F664" t="s">
        <v>272</v>
      </c>
      <c r="G664" t="s">
        <v>779</v>
      </c>
      <c r="H664" t="s">
        <v>1070</v>
      </c>
      <c r="I664" s="2">
        <v>44896.5850697106</v>
      </c>
      <c r="J664" s="2">
        <v>44927</v>
      </c>
      <c r="K664" t="s">
        <v>510</v>
      </c>
    </row>
    <row r="665" spans="1:11">
      <c r="A665">
        <v>664</v>
      </c>
      <c r="B665">
        <v>166553375</v>
      </c>
      <c r="C665" t="s">
        <v>357</v>
      </c>
      <c r="D665" t="s">
        <v>357</v>
      </c>
      <c r="E665" s="8" t="s">
        <v>64</v>
      </c>
      <c r="F665" t="s">
        <v>272</v>
      </c>
      <c r="G665" t="s">
        <v>779</v>
      </c>
      <c r="H665" t="s">
        <v>1070</v>
      </c>
      <c r="I665" s="2">
        <v>44896.586027696801</v>
      </c>
      <c r="J665" s="2">
        <v>44986</v>
      </c>
      <c r="K665" t="s">
        <v>510</v>
      </c>
    </row>
    <row r="666" spans="1:11">
      <c r="A666">
        <v>665</v>
      </c>
      <c r="B666">
        <v>166557667</v>
      </c>
      <c r="C666" t="s">
        <v>357</v>
      </c>
      <c r="D666" t="s">
        <v>357</v>
      </c>
      <c r="E666" s="8" t="s">
        <v>65</v>
      </c>
      <c r="F666" t="s">
        <v>272</v>
      </c>
      <c r="G666" t="s">
        <v>779</v>
      </c>
      <c r="H666" t="s">
        <v>1070</v>
      </c>
      <c r="I666" s="2">
        <v>44896.586782951403</v>
      </c>
      <c r="J666" s="2">
        <v>44958</v>
      </c>
      <c r="K666" t="s">
        <v>510</v>
      </c>
    </row>
    <row r="667" spans="1:11">
      <c r="A667">
        <v>666</v>
      </c>
      <c r="B667">
        <v>166557651</v>
      </c>
      <c r="C667" t="s">
        <v>357</v>
      </c>
      <c r="D667" t="s">
        <v>357</v>
      </c>
      <c r="E667" s="8" t="s">
        <v>65</v>
      </c>
      <c r="F667" t="s">
        <v>272</v>
      </c>
      <c r="G667" t="s">
        <v>779</v>
      </c>
      <c r="H667" t="s">
        <v>1070</v>
      </c>
      <c r="I667" s="2">
        <v>44896.587512303202</v>
      </c>
      <c r="J667" s="2">
        <v>44986</v>
      </c>
      <c r="K667" t="s">
        <v>510</v>
      </c>
    </row>
    <row r="668" spans="1:11">
      <c r="A668">
        <v>667</v>
      </c>
      <c r="B668">
        <v>166557675</v>
      </c>
      <c r="C668" t="s">
        <v>958</v>
      </c>
      <c r="D668" t="s">
        <v>1042</v>
      </c>
      <c r="E668" s="8" t="s">
        <v>65</v>
      </c>
      <c r="F668" t="s">
        <v>272</v>
      </c>
      <c r="G668" t="s">
        <v>779</v>
      </c>
      <c r="H668" t="s">
        <v>1070</v>
      </c>
      <c r="I668" s="2">
        <v>44896.588238622702</v>
      </c>
      <c r="J668" s="2">
        <v>44986</v>
      </c>
      <c r="K668" t="s">
        <v>510</v>
      </c>
    </row>
    <row r="669" spans="1:11">
      <c r="A669">
        <v>668</v>
      </c>
      <c r="B669">
        <v>166557657</v>
      </c>
      <c r="C669" t="s">
        <v>357</v>
      </c>
      <c r="D669" t="s">
        <v>357</v>
      </c>
      <c r="E669" s="8" t="s">
        <v>65</v>
      </c>
      <c r="F669" t="s">
        <v>272</v>
      </c>
      <c r="G669" t="s">
        <v>779</v>
      </c>
      <c r="H669" t="s">
        <v>1070</v>
      </c>
      <c r="I669" s="2">
        <v>44896.589309641196</v>
      </c>
      <c r="J669" s="2">
        <v>44986</v>
      </c>
      <c r="K669" t="s">
        <v>510</v>
      </c>
    </row>
    <row r="670" spans="1:11">
      <c r="A670">
        <v>669</v>
      </c>
      <c r="B670">
        <v>166557671</v>
      </c>
      <c r="C670" t="s">
        <v>320</v>
      </c>
      <c r="D670" t="s">
        <v>320</v>
      </c>
      <c r="E670" s="8" t="s">
        <v>65</v>
      </c>
      <c r="F670" t="s">
        <v>272</v>
      </c>
      <c r="G670" t="s">
        <v>779</v>
      </c>
      <c r="H670" t="s">
        <v>1070</v>
      </c>
      <c r="I670" s="2">
        <v>44896.589967627297</v>
      </c>
      <c r="J670" s="2">
        <v>44986</v>
      </c>
      <c r="K670" t="s">
        <v>510</v>
      </c>
    </row>
    <row r="671" spans="1:11">
      <c r="A671">
        <v>670</v>
      </c>
      <c r="B671">
        <v>166557659</v>
      </c>
      <c r="C671" t="s">
        <v>312</v>
      </c>
      <c r="D671" t="s">
        <v>1042</v>
      </c>
      <c r="E671" s="8" t="s">
        <v>65</v>
      </c>
      <c r="F671" t="s">
        <v>272</v>
      </c>
      <c r="G671" t="s">
        <v>779</v>
      </c>
      <c r="H671" t="s">
        <v>1070</v>
      </c>
      <c r="I671" s="2">
        <v>44896.590715821803</v>
      </c>
      <c r="J671" s="2">
        <v>44986</v>
      </c>
      <c r="K671" t="s">
        <v>510</v>
      </c>
    </row>
    <row r="672" spans="1:11">
      <c r="A672">
        <v>671</v>
      </c>
      <c r="B672">
        <v>166557673</v>
      </c>
      <c r="C672" t="s">
        <v>320</v>
      </c>
      <c r="D672" t="s">
        <v>320</v>
      </c>
      <c r="E672" s="8" t="s">
        <v>65</v>
      </c>
      <c r="F672" t="s">
        <v>272</v>
      </c>
      <c r="G672" t="s">
        <v>779</v>
      </c>
      <c r="H672" t="s">
        <v>1070</v>
      </c>
      <c r="I672" s="2">
        <v>44896.592599965297</v>
      </c>
      <c r="J672" s="2">
        <v>44986</v>
      </c>
      <c r="K672" t="s">
        <v>510</v>
      </c>
    </row>
    <row r="673" spans="1:11">
      <c r="A673">
        <v>672</v>
      </c>
      <c r="B673">
        <v>143068318</v>
      </c>
      <c r="C673" t="s">
        <v>357</v>
      </c>
      <c r="D673" t="s">
        <v>357</v>
      </c>
      <c r="E673" s="8" t="s">
        <v>774</v>
      </c>
      <c r="F673" t="s">
        <v>272</v>
      </c>
      <c r="G673" t="s">
        <v>491</v>
      </c>
      <c r="H673" t="s">
        <v>1071</v>
      </c>
      <c r="I673" s="2">
        <v>44896.642635648102</v>
      </c>
      <c r="J673" s="2">
        <v>44929</v>
      </c>
      <c r="K673" t="s">
        <v>512</v>
      </c>
    </row>
    <row r="674" spans="1:11">
      <c r="A674">
        <v>673</v>
      </c>
      <c r="B674">
        <v>166551451</v>
      </c>
      <c r="C674" t="s">
        <v>979</v>
      </c>
      <c r="D674" t="s">
        <v>363</v>
      </c>
      <c r="E674" s="8" t="s">
        <v>128</v>
      </c>
      <c r="F674" t="s">
        <v>279</v>
      </c>
      <c r="G674" t="s">
        <v>779</v>
      </c>
      <c r="H674" t="s">
        <v>1070</v>
      </c>
      <c r="I674" s="2">
        <v>44896.6918504282</v>
      </c>
      <c r="J674" s="2">
        <v>44920</v>
      </c>
      <c r="K674" t="s">
        <v>511</v>
      </c>
    </row>
    <row r="675" spans="1:11">
      <c r="A675">
        <v>674</v>
      </c>
      <c r="B675">
        <v>166551455</v>
      </c>
      <c r="C675" t="s">
        <v>346</v>
      </c>
      <c r="D675" t="s">
        <v>346</v>
      </c>
      <c r="E675" s="8" t="s">
        <v>789</v>
      </c>
      <c r="F675" t="s">
        <v>272</v>
      </c>
      <c r="G675" t="s">
        <v>779</v>
      </c>
      <c r="H675" t="s">
        <v>1070</v>
      </c>
      <c r="I675" s="2">
        <v>44896.692262580997</v>
      </c>
      <c r="J675" s="2">
        <v>44937</v>
      </c>
      <c r="K675" t="s">
        <v>511</v>
      </c>
    </row>
    <row r="676" spans="1:11">
      <c r="A676">
        <v>675</v>
      </c>
      <c r="B676">
        <v>166553417</v>
      </c>
      <c r="C676" t="s">
        <v>678</v>
      </c>
      <c r="D676" t="s">
        <v>678</v>
      </c>
      <c r="E676" s="8" t="s">
        <v>789</v>
      </c>
      <c r="F676" t="s">
        <v>272</v>
      </c>
      <c r="G676" t="s">
        <v>779</v>
      </c>
      <c r="H676" t="s">
        <v>1070</v>
      </c>
      <c r="I676" s="2">
        <v>44896.692262580997</v>
      </c>
      <c r="J676" s="2">
        <v>44936</v>
      </c>
      <c r="K676" t="s">
        <v>511</v>
      </c>
    </row>
    <row r="677" spans="1:11">
      <c r="A677">
        <v>676</v>
      </c>
      <c r="B677">
        <v>169597381</v>
      </c>
      <c r="C677" t="s">
        <v>320</v>
      </c>
      <c r="D677" t="s">
        <v>320</v>
      </c>
      <c r="E677" s="8" t="s">
        <v>226</v>
      </c>
      <c r="F677" t="s">
        <v>272</v>
      </c>
      <c r="G677" t="s">
        <v>491</v>
      </c>
      <c r="H677" t="s">
        <v>1071</v>
      </c>
      <c r="I677" s="2">
        <v>44896.694733715303</v>
      </c>
      <c r="J677" s="2">
        <v>44908</v>
      </c>
      <c r="K677" t="s">
        <v>512</v>
      </c>
    </row>
    <row r="678" spans="1:11">
      <c r="A678">
        <v>677</v>
      </c>
      <c r="B678">
        <v>166842815</v>
      </c>
      <c r="C678" t="s">
        <v>1036</v>
      </c>
      <c r="D678" t="s">
        <v>363</v>
      </c>
      <c r="E678" s="8" t="s">
        <v>42</v>
      </c>
      <c r="F678" t="s">
        <v>274</v>
      </c>
      <c r="G678" t="s">
        <v>779</v>
      </c>
      <c r="H678" t="s">
        <v>1070</v>
      </c>
      <c r="I678" s="2">
        <v>44896.717687766199</v>
      </c>
      <c r="J678" s="2">
        <v>44986</v>
      </c>
      <c r="K678" t="s">
        <v>509</v>
      </c>
    </row>
    <row r="679" spans="1:11">
      <c r="A679">
        <v>678</v>
      </c>
      <c r="B679">
        <v>166842991</v>
      </c>
      <c r="C679" t="s">
        <v>405</v>
      </c>
      <c r="D679" t="s">
        <v>1068</v>
      </c>
      <c r="E679" s="8" t="s">
        <v>477</v>
      </c>
      <c r="F679" t="s">
        <v>274</v>
      </c>
      <c r="G679" t="s">
        <v>499</v>
      </c>
      <c r="H679" t="s">
        <v>1070</v>
      </c>
      <c r="I679" s="2">
        <v>44896.721009571796</v>
      </c>
      <c r="J679" s="2">
        <v>45031</v>
      </c>
      <c r="K679" t="s">
        <v>514</v>
      </c>
    </row>
    <row r="680" spans="1:11">
      <c r="A680">
        <v>679</v>
      </c>
      <c r="B680">
        <v>166842817</v>
      </c>
      <c r="C680" t="s">
        <v>320</v>
      </c>
      <c r="D680" t="s">
        <v>320</v>
      </c>
      <c r="E680" s="8" t="s">
        <v>44</v>
      </c>
      <c r="F680" t="s">
        <v>276</v>
      </c>
      <c r="G680" t="s">
        <v>779</v>
      </c>
      <c r="H680" t="s">
        <v>1070</v>
      </c>
      <c r="I680" s="2">
        <v>44896.724519525502</v>
      </c>
      <c r="J680" s="2">
        <v>45004</v>
      </c>
      <c r="K680" t="s">
        <v>509</v>
      </c>
    </row>
    <row r="681" spans="1:11">
      <c r="A681">
        <v>680</v>
      </c>
      <c r="B681">
        <v>166842789</v>
      </c>
      <c r="C681" t="s">
        <v>11</v>
      </c>
      <c r="D681" t="s">
        <v>401</v>
      </c>
      <c r="E681" s="8" t="s">
        <v>43</v>
      </c>
      <c r="F681" t="s">
        <v>272</v>
      </c>
      <c r="G681" t="s">
        <v>779</v>
      </c>
      <c r="H681" t="s">
        <v>1070</v>
      </c>
      <c r="I681" s="2">
        <v>44896.728162731502</v>
      </c>
      <c r="J681" s="2">
        <v>44986</v>
      </c>
      <c r="K681" t="s">
        <v>509</v>
      </c>
    </row>
    <row r="682" spans="1:11">
      <c r="A682">
        <v>681</v>
      </c>
      <c r="B682">
        <v>166557683</v>
      </c>
      <c r="C682" t="s">
        <v>678</v>
      </c>
      <c r="D682" t="s">
        <v>678</v>
      </c>
      <c r="E682" s="8" t="s">
        <v>74</v>
      </c>
      <c r="F682" t="s">
        <v>272</v>
      </c>
      <c r="G682" t="s">
        <v>779</v>
      </c>
      <c r="H682" t="s">
        <v>1070</v>
      </c>
      <c r="I682" s="2">
        <v>44896.800239895798</v>
      </c>
      <c r="J682" s="2">
        <v>44986</v>
      </c>
      <c r="K682" t="s">
        <v>510</v>
      </c>
    </row>
    <row r="683" spans="1:11">
      <c r="A683">
        <v>682</v>
      </c>
      <c r="B683">
        <v>166557647</v>
      </c>
      <c r="C683" t="s">
        <v>925</v>
      </c>
      <c r="D683" t="s">
        <v>1041</v>
      </c>
      <c r="E683" s="8" t="s">
        <v>749</v>
      </c>
      <c r="F683" t="s">
        <v>272</v>
      </c>
      <c r="G683" t="s">
        <v>779</v>
      </c>
      <c r="H683" t="s">
        <v>1070</v>
      </c>
      <c r="I683" s="2">
        <v>44896.803292743098</v>
      </c>
      <c r="J683" s="2">
        <v>44986</v>
      </c>
      <c r="K683" t="s">
        <v>510</v>
      </c>
    </row>
    <row r="684" spans="1:11">
      <c r="A684">
        <v>683</v>
      </c>
      <c r="B684">
        <v>166551429</v>
      </c>
      <c r="C684" t="s">
        <v>992</v>
      </c>
      <c r="D684" t="s">
        <v>363</v>
      </c>
      <c r="E684" s="8" t="s">
        <v>127</v>
      </c>
      <c r="F684" t="s">
        <v>272</v>
      </c>
      <c r="G684" t="s">
        <v>779</v>
      </c>
      <c r="H684" t="s">
        <v>1070</v>
      </c>
      <c r="I684" s="2">
        <v>44896.828381794003</v>
      </c>
      <c r="J684" s="2">
        <v>44917</v>
      </c>
      <c r="K684" t="s">
        <v>511</v>
      </c>
    </row>
    <row r="685" spans="1:11">
      <c r="A685">
        <v>684</v>
      </c>
      <c r="B685">
        <v>166549155</v>
      </c>
      <c r="C685" t="s">
        <v>301</v>
      </c>
      <c r="D685" t="s">
        <v>401</v>
      </c>
      <c r="E685" s="8" t="s">
        <v>37</v>
      </c>
      <c r="F685" t="s">
        <v>272</v>
      </c>
      <c r="G685" t="s">
        <v>779</v>
      </c>
      <c r="H685" t="s">
        <v>1070</v>
      </c>
      <c r="I685" s="2">
        <v>44896.847278205998</v>
      </c>
      <c r="J685" s="2">
        <v>44986</v>
      </c>
      <c r="K685" t="s">
        <v>509</v>
      </c>
    </row>
    <row r="686" spans="1:11">
      <c r="A686">
        <v>685</v>
      </c>
      <c r="B686">
        <v>166841429</v>
      </c>
      <c r="C686" t="s">
        <v>678</v>
      </c>
      <c r="D686" t="s">
        <v>678</v>
      </c>
      <c r="E686" s="8" t="s">
        <v>37</v>
      </c>
      <c r="F686" t="s">
        <v>272</v>
      </c>
      <c r="G686" t="s">
        <v>779</v>
      </c>
      <c r="H686" t="s">
        <v>1070</v>
      </c>
      <c r="I686" s="2">
        <v>44896.847278205998</v>
      </c>
      <c r="J686" s="2">
        <v>44986</v>
      </c>
      <c r="K686" t="s">
        <v>509</v>
      </c>
    </row>
    <row r="687" spans="1:11">
      <c r="A687">
        <v>686</v>
      </c>
      <c r="B687">
        <v>166549975</v>
      </c>
      <c r="D687" t="s">
        <v>1108</v>
      </c>
      <c r="E687" s="8" t="s">
        <v>198</v>
      </c>
      <c r="F687" t="s">
        <v>272</v>
      </c>
      <c r="G687" t="s">
        <v>504</v>
      </c>
      <c r="H687" t="s">
        <v>1070</v>
      </c>
      <c r="I687" s="2">
        <v>44896.854677280098</v>
      </c>
      <c r="J687" s="2">
        <v>44986</v>
      </c>
      <c r="K687" t="s">
        <v>512</v>
      </c>
    </row>
    <row r="688" spans="1:11">
      <c r="A688">
        <v>687</v>
      </c>
      <c r="B688">
        <v>166552611</v>
      </c>
      <c r="C688" t="s">
        <v>678</v>
      </c>
      <c r="D688" t="s">
        <v>678</v>
      </c>
      <c r="E688" s="8" t="s">
        <v>746</v>
      </c>
      <c r="F688" t="s">
        <v>272</v>
      </c>
      <c r="G688" t="s">
        <v>779</v>
      </c>
      <c r="H688" t="s">
        <v>1070</v>
      </c>
      <c r="I688" s="2">
        <v>44896.896180057898</v>
      </c>
      <c r="J688" s="2">
        <v>44986</v>
      </c>
      <c r="K688" t="s">
        <v>510</v>
      </c>
    </row>
    <row r="689" spans="1:11">
      <c r="A689">
        <v>688</v>
      </c>
      <c r="B689">
        <v>166552625</v>
      </c>
      <c r="C689" t="s">
        <v>357</v>
      </c>
      <c r="D689" t="s">
        <v>357</v>
      </c>
      <c r="E689" s="8" t="s">
        <v>75</v>
      </c>
      <c r="F689" t="s">
        <v>272</v>
      </c>
      <c r="G689" t="s">
        <v>779</v>
      </c>
      <c r="H689" t="s">
        <v>1070</v>
      </c>
      <c r="I689" s="2">
        <v>44896.896945023102</v>
      </c>
      <c r="J689" s="2">
        <v>44986</v>
      </c>
      <c r="K689" t="s">
        <v>510</v>
      </c>
    </row>
    <row r="690" spans="1:11">
      <c r="A690">
        <v>689</v>
      </c>
      <c r="B690">
        <v>166552659</v>
      </c>
      <c r="C690" t="s">
        <v>357</v>
      </c>
      <c r="D690" t="s">
        <v>357</v>
      </c>
      <c r="E690" s="8" t="s">
        <v>76</v>
      </c>
      <c r="F690" t="s">
        <v>272</v>
      </c>
      <c r="G690" t="s">
        <v>779</v>
      </c>
      <c r="H690" t="s">
        <v>1070</v>
      </c>
      <c r="I690" s="2">
        <v>44896.897655243098</v>
      </c>
      <c r="J690" s="2">
        <v>44986</v>
      </c>
      <c r="K690" t="s">
        <v>510</v>
      </c>
    </row>
    <row r="691" spans="1:11">
      <c r="A691">
        <v>690</v>
      </c>
      <c r="B691">
        <v>166553367</v>
      </c>
      <c r="C691" t="s">
        <v>920</v>
      </c>
      <c r="D691" t="s">
        <v>1042</v>
      </c>
      <c r="E691" s="8" t="s">
        <v>75</v>
      </c>
      <c r="F691" t="s">
        <v>272</v>
      </c>
      <c r="G691" t="s">
        <v>779</v>
      </c>
      <c r="H691" t="s">
        <v>1070</v>
      </c>
      <c r="I691" s="2">
        <v>44896.898947222202</v>
      </c>
      <c r="J691" s="2">
        <v>44986</v>
      </c>
      <c r="K691" t="s">
        <v>510</v>
      </c>
    </row>
    <row r="692" spans="1:11">
      <c r="A692">
        <v>691</v>
      </c>
      <c r="B692">
        <v>143060696</v>
      </c>
      <c r="C692" t="s">
        <v>320</v>
      </c>
      <c r="D692" t="s">
        <v>320</v>
      </c>
      <c r="E692" s="8" t="s">
        <v>101</v>
      </c>
      <c r="F692" t="s">
        <v>272</v>
      </c>
      <c r="G692" t="s">
        <v>779</v>
      </c>
      <c r="H692" t="s">
        <v>1070</v>
      </c>
      <c r="I692" s="2">
        <v>44896.930556446801</v>
      </c>
      <c r="J692" s="2">
        <v>44986</v>
      </c>
      <c r="K692" t="s">
        <v>511</v>
      </c>
    </row>
    <row r="693" spans="1:11">
      <c r="A693">
        <v>692</v>
      </c>
      <c r="B693">
        <v>143039736</v>
      </c>
      <c r="C693" t="s">
        <v>320</v>
      </c>
      <c r="D693" t="s">
        <v>320</v>
      </c>
      <c r="E693" s="8" t="s">
        <v>101</v>
      </c>
      <c r="F693" t="s">
        <v>272</v>
      </c>
      <c r="G693" t="s">
        <v>779</v>
      </c>
      <c r="H693" t="s">
        <v>1070</v>
      </c>
      <c r="I693" s="2">
        <v>44896.9326556366</v>
      </c>
      <c r="J693" s="2">
        <v>44986</v>
      </c>
      <c r="K693" t="s">
        <v>511</v>
      </c>
    </row>
    <row r="694" spans="1:11">
      <c r="A694">
        <v>693</v>
      </c>
      <c r="B694">
        <v>166843459</v>
      </c>
      <c r="C694" t="s">
        <v>357</v>
      </c>
      <c r="D694" t="s">
        <v>357</v>
      </c>
      <c r="E694" s="8" t="s">
        <v>765</v>
      </c>
      <c r="F694" t="s">
        <v>272</v>
      </c>
      <c r="G694" t="s">
        <v>504</v>
      </c>
      <c r="H694" t="s">
        <v>1070</v>
      </c>
      <c r="I694" s="2">
        <v>44897.201756562499</v>
      </c>
      <c r="J694" s="2">
        <v>44986</v>
      </c>
      <c r="K694" t="s">
        <v>512</v>
      </c>
    </row>
    <row r="695" spans="1:11">
      <c r="A695">
        <v>694</v>
      </c>
      <c r="B695">
        <v>168101024</v>
      </c>
      <c r="C695" t="s">
        <v>1022</v>
      </c>
      <c r="D695" t="s">
        <v>363</v>
      </c>
      <c r="E695" s="8" t="s">
        <v>123</v>
      </c>
      <c r="F695" t="s">
        <v>1108</v>
      </c>
      <c r="G695" t="s">
        <v>779</v>
      </c>
      <c r="H695" t="s">
        <v>1070</v>
      </c>
      <c r="I695" s="2">
        <v>44897.226854664397</v>
      </c>
      <c r="J695" s="2">
        <v>44904</v>
      </c>
      <c r="K695" t="s">
        <v>511</v>
      </c>
    </row>
    <row r="696" spans="1:11">
      <c r="A696">
        <v>695</v>
      </c>
      <c r="B696">
        <v>166843341</v>
      </c>
      <c r="C696" t="s">
        <v>357</v>
      </c>
      <c r="D696" t="s">
        <v>357</v>
      </c>
      <c r="E696" s="8" t="s">
        <v>149</v>
      </c>
      <c r="F696" t="s">
        <v>274</v>
      </c>
      <c r="G696" t="s">
        <v>779</v>
      </c>
      <c r="H696" t="s">
        <v>1070</v>
      </c>
      <c r="I696" s="2">
        <v>44897.4939484606</v>
      </c>
      <c r="J696" s="2">
        <v>44967</v>
      </c>
      <c r="K696" t="s">
        <v>511</v>
      </c>
    </row>
    <row r="697" spans="1:11">
      <c r="A697">
        <v>696</v>
      </c>
      <c r="B697">
        <v>166557691</v>
      </c>
      <c r="C697" t="s">
        <v>320</v>
      </c>
      <c r="D697" t="s">
        <v>320</v>
      </c>
      <c r="E697" s="8" t="s">
        <v>88</v>
      </c>
      <c r="F697" t="s">
        <v>279</v>
      </c>
      <c r="G697" t="s">
        <v>779</v>
      </c>
      <c r="H697" t="s">
        <v>1070</v>
      </c>
      <c r="I697" s="2">
        <v>44897.594468865696</v>
      </c>
      <c r="J697" s="2">
        <v>44986</v>
      </c>
      <c r="K697" t="s">
        <v>510</v>
      </c>
    </row>
    <row r="698" spans="1:11">
      <c r="A698">
        <v>697</v>
      </c>
      <c r="B698">
        <v>166557689</v>
      </c>
      <c r="C698" t="s">
        <v>320</v>
      </c>
      <c r="D698" t="s">
        <v>320</v>
      </c>
      <c r="E698" s="8" t="s">
        <v>88</v>
      </c>
      <c r="F698" t="s">
        <v>279</v>
      </c>
      <c r="G698" t="s">
        <v>779</v>
      </c>
      <c r="H698" t="s">
        <v>1070</v>
      </c>
      <c r="I698" s="2">
        <v>44897.595994756899</v>
      </c>
      <c r="J698" s="2">
        <v>44986</v>
      </c>
      <c r="K698" t="s">
        <v>510</v>
      </c>
    </row>
    <row r="699" spans="1:11">
      <c r="A699">
        <v>698</v>
      </c>
      <c r="B699">
        <v>166552641</v>
      </c>
      <c r="C699" t="s">
        <v>320</v>
      </c>
      <c r="D699" t="s">
        <v>320</v>
      </c>
      <c r="E699" s="8" t="s">
        <v>88</v>
      </c>
      <c r="F699" t="s">
        <v>279</v>
      </c>
      <c r="G699" t="s">
        <v>779</v>
      </c>
      <c r="H699" t="s">
        <v>1070</v>
      </c>
      <c r="I699" s="2">
        <v>44897.5970542824</v>
      </c>
      <c r="J699" s="2">
        <v>44986</v>
      </c>
      <c r="K699" t="s">
        <v>510</v>
      </c>
    </row>
    <row r="700" spans="1:11">
      <c r="A700">
        <v>699</v>
      </c>
      <c r="B700">
        <v>166557655</v>
      </c>
      <c r="C700" t="s">
        <v>325</v>
      </c>
      <c r="D700" t="s">
        <v>1068</v>
      </c>
      <c r="E700" s="8" t="s">
        <v>88</v>
      </c>
      <c r="F700" t="s">
        <v>279</v>
      </c>
      <c r="G700" t="s">
        <v>779</v>
      </c>
      <c r="H700" t="s">
        <v>1070</v>
      </c>
      <c r="I700" s="2">
        <v>44897.597885960597</v>
      </c>
      <c r="J700" s="2">
        <v>44986</v>
      </c>
      <c r="K700" t="s">
        <v>510</v>
      </c>
    </row>
    <row r="701" spans="1:11">
      <c r="A701">
        <v>700</v>
      </c>
      <c r="B701">
        <v>158218824</v>
      </c>
      <c r="C701" t="s">
        <v>383</v>
      </c>
      <c r="D701" t="s">
        <v>401</v>
      </c>
      <c r="E701" s="8" t="s">
        <v>212</v>
      </c>
      <c r="F701" t="s">
        <v>272</v>
      </c>
      <c r="G701" t="s">
        <v>504</v>
      </c>
      <c r="H701" t="s">
        <v>1070</v>
      </c>
      <c r="I701" s="2">
        <v>44897.6102572569</v>
      </c>
      <c r="J701" s="2">
        <v>44986</v>
      </c>
      <c r="K701" t="s">
        <v>512</v>
      </c>
    </row>
    <row r="702" spans="1:11">
      <c r="A702">
        <v>701</v>
      </c>
      <c r="B702">
        <v>166843467</v>
      </c>
      <c r="C702" t="s">
        <v>320</v>
      </c>
      <c r="D702" t="s">
        <v>320</v>
      </c>
      <c r="E702" s="8" t="s">
        <v>210</v>
      </c>
      <c r="F702" t="s">
        <v>1108</v>
      </c>
      <c r="G702" t="s">
        <v>504</v>
      </c>
      <c r="H702" t="s">
        <v>1070</v>
      </c>
      <c r="I702" s="2">
        <v>44897.6137886574</v>
      </c>
      <c r="J702" s="2">
        <v>44986</v>
      </c>
      <c r="K702" t="s">
        <v>512</v>
      </c>
    </row>
    <row r="703" spans="1:11">
      <c r="A703">
        <v>702</v>
      </c>
      <c r="B703">
        <v>166549991</v>
      </c>
      <c r="D703" t="s">
        <v>1108</v>
      </c>
      <c r="E703" s="8" t="s">
        <v>206</v>
      </c>
      <c r="F703" t="s">
        <v>272</v>
      </c>
      <c r="G703" t="s">
        <v>504</v>
      </c>
      <c r="H703" t="s">
        <v>1070</v>
      </c>
      <c r="I703" s="2">
        <v>44897.6168078357</v>
      </c>
      <c r="J703" s="2">
        <v>44986</v>
      </c>
      <c r="K703" t="s">
        <v>512</v>
      </c>
    </row>
    <row r="704" spans="1:11">
      <c r="A704">
        <v>703</v>
      </c>
      <c r="B704">
        <v>166842281</v>
      </c>
      <c r="C704" t="s">
        <v>303</v>
      </c>
      <c r="D704" t="s">
        <v>303</v>
      </c>
      <c r="E704" s="8" t="s">
        <v>163</v>
      </c>
      <c r="F704" t="s">
        <v>272</v>
      </c>
      <c r="I704" s="2">
        <v>44897.617786770803</v>
      </c>
      <c r="J704" s="2">
        <v>44996</v>
      </c>
      <c r="K704" t="s">
        <v>512</v>
      </c>
    </row>
    <row r="705" spans="1:11">
      <c r="A705">
        <v>704</v>
      </c>
      <c r="B705">
        <v>166843471</v>
      </c>
      <c r="D705" t="s">
        <v>1108</v>
      </c>
      <c r="E705" s="8" t="s">
        <v>208</v>
      </c>
      <c r="F705" t="s">
        <v>273</v>
      </c>
      <c r="G705" t="s">
        <v>504</v>
      </c>
      <c r="H705" t="s">
        <v>1070</v>
      </c>
      <c r="I705" s="2">
        <v>44897.618431446797</v>
      </c>
      <c r="J705" s="2">
        <v>44986</v>
      </c>
      <c r="K705" t="s">
        <v>512</v>
      </c>
    </row>
    <row r="706" spans="1:11">
      <c r="A706">
        <v>705</v>
      </c>
      <c r="B706">
        <v>168101060</v>
      </c>
      <c r="C706" t="s">
        <v>320</v>
      </c>
      <c r="D706" t="s">
        <v>320</v>
      </c>
      <c r="E706" s="8" t="s">
        <v>159</v>
      </c>
      <c r="F706" t="s">
        <v>272</v>
      </c>
      <c r="I706" s="2">
        <v>44897.619486076401</v>
      </c>
      <c r="J706" s="2">
        <v>44989</v>
      </c>
      <c r="K706" t="s">
        <v>511</v>
      </c>
    </row>
    <row r="707" spans="1:11">
      <c r="A707">
        <v>706</v>
      </c>
      <c r="B707">
        <v>168100310</v>
      </c>
      <c r="C707" t="s">
        <v>373</v>
      </c>
      <c r="D707" t="s">
        <v>363</v>
      </c>
      <c r="E707" s="8" t="s">
        <v>160</v>
      </c>
      <c r="F707" t="s">
        <v>273</v>
      </c>
      <c r="I707" s="2">
        <v>44897.623757523201</v>
      </c>
      <c r="J707" s="2">
        <v>44991</v>
      </c>
      <c r="K707" t="s">
        <v>512</v>
      </c>
    </row>
    <row r="708" spans="1:11">
      <c r="A708">
        <v>707</v>
      </c>
      <c r="B708">
        <v>168100841</v>
      </c>
      <c r="C708" t="s">
        <v>320</v>
      </c>
      <c r="D708" t="s">
        <v>320</v>
      </c>
      <c r="E708" s="8" t="s">
        <v>158</v>
      </c>
      <c r="F708" t="s">
        <v>272</v>
      </c>
      <c r="G708" t="s">
        <v>779</v>
      </c>
      <c r="H708" t="s">
        <v>1070</v>
      </c>
      <c r="I708" s="2">
        <v>44897.625198692098</v>
      </c>
      <c r="J708" s="2">
        <v>44986</v>
      </c>
      <c r="K708" t="s">
        <v>511</v>
      </c>
    </row>
    <row r="709" spans="1:11">
      <c r="A709">
        <v>708</v>
      </c>
      <c r="B709">
        <v>169596457</v>
      </c>
      <c r="C709" t="s">
        <v>320</v>
      </c>
      <c r="D709" t="s">
        <v>320</v>
      </c>
      <c r="E709" s="8" t="s">
        <v>141</v>
      </c>
      <c r="F709" t="s">
        <v>272</v>
      </c>
      <c r="G709" t="s">
        <v>779</v>
      </c>
      <c r="H709" t="s">
        <v>1070</v>
      </c>
      <c r="I709" s="2">
        <v>44897.633546377299</v>
      </c>
      <c r="J709" s="2">
        <v>44952</v>
      </c>
      <c r="K709" t="s">
        <v>511</v>
      </c>
    </row>
    <row r="710" spans="1:11">
      <c r="A710">
        <v>709</v>
      </c>
      <c r="B710">
        <v>168101012</v>
      </c>
      <c r="C710" t="s">
        <v>346</v>
      </c>
      <c r="D710" t="s">
        <v>346</v>
      </c>
      <c r="E710" s="8" t="s">
        <v>138</v>
      </c>
      <c r="F710" t="s">
        <v>276</v>
      </c>
      <c r="G710" t="s">
        <v>779</v>
      </c>
      <c r="H710" t="s">
        <v>1070</v>
      </c>
      <c r="I710" s="2">
        <v>44897.635536423601</v>
      </c>
      <c r="J710" s="2">
        <v>44945</v>
      </c>
      <c r="K710" t="s">
        <v>511</v>
      </c>
    </row>
    <row r="711" spans="1:11">
      <c r="A711">
        <v>710</v>
      </c>
      <c r="B711">
        <v>166841949</v>
      </c>
      <c r="C711" t="s">
        <v>320</v>
      </c>
      <c r="D711" t="s">
        <v>320</v>
      </c>
      <c r="E711" s="8" t="s">
        <v>162</v>
      </c>
      <c r="F711" t="s">
        <v>272</v>
      </c>
      <c r="I711" s="2">
        <v>44897.638893830997</v>
      </c>
      <c r="J711" s="2">
        <v>44993</v>
      </c>
      <c r="K711" t="s">
        <v>512</v>
      </c>
    </row>
    <row r="712" spans="1:11">
      <c r="A712">
        <v>711</v>
      </c>
      <c r="B712">
        <v>168101033</v>
      </c>
      <c r="C712" t="s">
        <v>346</v>
      </c>
      <c r="D712" t="s">
        <v>346</v>
      </c>
      <c r="E712" s="8" t="s">
        <v>138</v>
      </c>
      <c r="F712" t="s">
        <v>276</v>
      </c>
      <c r="G712" t="s">
        <v>779</v>
      </c>
      <c r="H712" t="s">
        <v>1070</v>
      </c>
      <c r="I712" s="2">
        <v>44897.639522256897</v>
      </c>
      <c r="J712" s="2">
        <v>44946</v>
      </c>
      <c r="K712" t="s">
        <v>511</v>
      </c>
    </row>
    <row r="713" spans="1:11">
      <c r="A713">
        <v>712</v>
      </c>
      <c r="B713">
        <v>166552595</v>
      </c>
      <c r="C713" t="s">
        <v>322</v>
      </c>
      <c r="D713" t="s">
        <v>1068</v>
      </c>
      <c r="E713" s="8" t="s">
        <v>87</v>
      </c>
      <c r="F713" t="s">
        <v>273</v>
      </c>
      <c r="G713" t="s">
        <v>779</v>
      </c>
      <c r="H713" t="s">
        <v>1070</v>
      </c>
      <c r="I713" s="2">
        <v>44897.686153356502</v>
      </c>
      <c r="J713" s="2">
        <v>44986</v>
      </c>
      <c r="K713" t="s">
        <v>510</v>
      </c>
    </row>
    <row r="714" spans="1:11">
      <c r="A714">
        <v>713</v>
      </c>
      <c r="B714">
        <v>166549217</v>
      </c>
      <c r="C714" t="s">
        <v>988</v>
      </c>
      <c r="D714" t="s">
        <v>1042</v>
      </c>
      <c r="E714" s="8" t="s">
        <v>452</v>
      </c>
      <c r="F714" t="s">
        <v>274</v>
      </c>
      <c r="G714" t="s">
        <v>491</v>
      </c>
      <c r="H714" t="s">
        <v>1071</v>
      </c>
      <c r="I714" s="2">
        <v>44897.690851736101</v>
      </c>
      <c r="J714" s="2">
        <v>44998</v>
      </c>
      <c r="K714" t="s">
        <v>514</v>
      </c>
    </row>
    <row r="715" spans="1:11">
      <c r="A715">
        <v>714</v>
      </c>
      <c r="B715">
        <v>143025414</v>
      </c>
      <c r="C715" t="s">
        <v>467</v>
      </c>
      <c r="D715" t="s">
        <v>346</v>
      </c>
      <c r="E715" s="8" t="s">
        <v>466</v>
      </c>
      <c r="F715" t="s">
        <v>274</v>
      </c>
      <c r="G715" t="s">
        <v>491</v>
      </c>
      <c r="H715" t="s">
        <v>1071</v>
      </c>
      <c r="I715" s="2">
        <v>44897.702926886603</v>
      </c>
      <c r="J715" s="2">
        <v>44999</v>
      </c>
      <c r="K715" t="s">
        <v>514</v>
      </c>
    </row>
    <row r="716" spans="1:11">
      <c r="A716">
        <v>715</v>
      </c>
      <c r="B716">
        <v>169596472</v>
      </c>
      <c r="C716" t="s">
        <v>320</v>
      </c>
      <c r="D716" t="s">
        <v>320</v>
      </c>
      <c r="E716" s="8" t="s">
        <v>141</v>
      </c>
      <c r="F716" t="s">
        <v>272</v>
      </c>
      <c r="G716" t="s">
        <v>779</v>
      </c>
      <c r="H716" t="s">
        <v>1070</v>
      </c>
      <c r="I716" s="2">
        <v>44897.704709919002</v>
      </c>
      <c r="J716" s="2">
        <v>44953</v>
      </c>
      <c r="K716" t="s">
        <v>511</v>
      </c>
    </row>
    <row r="717" spans="1:11">
      <c r="A717">
        <v>716</v>
      </c>
      <c r="B717">
        <v>166551447</v>
      </c>
      <c r="C717" t="s">
        <v>344</v>
      </c>
      <c r="D717" t="s">
        <v>1041</v>
      </c>
      <c r="E717" s="8" t="s">
        <v>127</v>
      </c>
      <c r="F717" t="s">
        <v>272</v>
      </c>
      <c r="G717" t="s">
        <v>779</v>
      </c>
      <c r="H717" t="s">
        <v>1070</v>
      </c>
      <c r="I717" s="2">
        <v>44897.711707673603</v>
      </c>
      <c r="J717" s="2">
        <v>44919</v>
      </c>
      <c r="K717" t="s">
        <v>511</v>
      </c>
    </row>
    <row r="718" spans="1:11">
      <c r="A718">
        <v>717</v>
      </c>
      <c r="B718">
        <v>169597162</v>
      </c>
      <c r="C718" t="s">
        <v>357</v>
      </c>
      <c r="D718" t="s">
        <v>357</v>
      </c>
      <c r="E718" s="8" t="s">
        <v>238</v>
      </c>
      <c r="F718" t="s">
        <v>272</v>
      </c>
      <c r="I718" s="2">
        <v>44897.740617905103</v>
      </c>
      <c r="J718" s="2">
        <v>44916</v>
      </c>
      <c r="K718" t="s">
        <v>512</v>
      </c>
    </row>
    <row r="719" spans="1:11">
      <c r="A719">
        <v>718</v>
      </c>
      <c r="B719">
        <v>169596478</v>
      </c>
      <c r="C719" t="s">
        <v>943</v>
      </c>
      <c r="D719" t="s">
        <v>1068</v>
      </c>
      <c r="E719" s="8" t="s">
        <v>141</v>
      </c>
      <c r="F719" t="s">
        <v>272</v>
      </c>
      <c r="G719" t="s">
        <v>779</v>
      </c>
      <c r="H719" t="s">
        <v>1070</v>
      </c>
      <c r="I719" s="2">
        <v>44897.740626585597</v>
      </c>
      <c r="J719" s="2">
        <v>44951</v>
      </c>
      <c r="K719" t="s">
        <v>511</v>
      </c>
    </row>
    <row r="720" spans="1:11">
      <c r="A720">
        <v>719</v>
      </c>
      <c r="B720">
        <v>169597234</v>
      </c>
      <c r="C720" t="s">
        <v>392</v>
      </c>
      <c r="D720" t="s">
        <v>1068</v>
      </c>
      <c r="E720" s="8" t="s">
        <v>238</v>
      </c>
      <c r="F720" t="s">
        <v>272</v>
      </c>
      <c r="I720" s="2">
        <v>44897.747432754601</v>
      </c>
      <c r="J720" s="2">
        <v>44917</v>
      </c>
      <c r="K720" t="s">
        <v>512</v>
      </c>
    </row>
    <row r="721" spans="1:11">
      <c r="A721">
        <v>720</v>
      </c>
      <c r="B721">
        <v>166551331</v>
      </c>
      <c r="C721" t="s">
        <v>989</v>
      </c>
      <c r="D721" t="s">
        <v>1042</v>
      </c>
      <c r="E721" s="8" t="s">
        <v>487</v>
      </c>
      <c r="F721" t="s">
        <v>1108</v>
      </c>
      <c r="G721" t="s">
        <v>499</v>
      </c>
      <c r="H721" t="s">
        <v>1070</v>
      </c>
      <c r="I721" s="2">
        <v>44897.748818437503</v>
      </c>
      <c r="J721" s="2">
        <v>45046</v>
      </c>
      <c r="K721" t="s">
        <v>514</v>
      </c>
    </row>
    <row r="722" spans="1:11">
      <c r="A722">
        <v>721</v>
      </c>
      <c r="B722">
        <v>166552619</v>
      </c>
      <c r="C722" t="s">
        <v>678</v>
      </c>
      <c r="D722" t="s">
        <v>678</v>
      </c>
      <c r="E722" s="8" t="s">
        <v>73</v>
      </c>
      <c r="F722" t="s">
        <v>272</v>
      </c>
      <c r="G722" t="s">
        <v>779</v>
      </c>
      <c r="H722" t="s">
        <v>1070</v>
      </c>
      <c r="I722" s="2">
        <v>44897.749888425897</v>
      </c>
      <c r="J722" s="2">
        <v>44986</v>
      </c>
      <c r="K722" t="s">
        <v>510</v>
      </c>
    </row>
    <row r="723" spans="1:11">
      <c r="A723">
        <v>722</v>
      </c>
      <c r="B723">
        <v>166551339</v>
      </c>
      <c r="C723" t="s">
        <v>320</v>
      </c>
      <c r="D723" t="s">
        <v>320</v>
      </c>
      <c r="E723" s="8" t="s">
        <v>486</v>
      </c>
      <c r="F723" t="s">
        <v>1108</v>
      </c>
      <c r="G723" t="s">
        <v>499</v>
      </c>
      <c r="H723" t="s">
        <v>1070</v>
      </c>
      <c r="I723" s="2">
        <v>44897.750680520803</v>
      </c>
      <c r="J723" s="2">
        <v>45044</v>
      </c>
      <c r="K723" t="s">
        <v>514</v>
      </c>
    </row>
    <row r="724" spans="1:11">
      <c r="A724">
        <v>723</v>
      </c>
      <c r="B724">
        <v>166552613</v>
      </c>
      <c r="C724" t="s">
        <v>357</v>
      </c>
      <c r="D724" t="s">
        <v>357</v>
      </c>
      <c r="E724" s="8" t="s">
        <v>73</v>
      </c>
      <c r="F724" t="s">
        <v>272</v>
      </c>
      <c r="G724" t="s">
        <v>779</v>
      </c>
      <c r="H724" t="s">
        <v>1070</v>
      </c>
      <c r="I724" s="2">
        <v>44897.751223842599</v>
      </c>
      <c r="J724" s="2">
        <v>44986</v>
      </c>
      <c r="K724" t="s">
        <v>510</v>
      </c>
    </row>
    <row r="725" spans="1:11">
      <c r="A725">
        <v>724</v>
      </c>
      <c r="B725">
        <v>166552645</v>
      </c>
      <c r="C725" t="s">
        <v>320</v>
      </c>
      <c r="D725" t="s">
        <v>320</v>
      </c>
      <c r="E725" s="8" t="s">
        <v>119</v>
      </c>
      <c r="F725" t="s">
        <v>272</v>
      </c>
      <c r="G725" t="s">
        <v>779</v>
      </c>
      <c r="H725" t="s">
        <v>1070</v>
      </c>
      <c r="I725" s="2">
        <v>44897.752205289296</v>
      </c>
      <c r="J725" s="2">
        <v>44986</v>
      </c>
      <c r="K725" t="s">
        <v>511</v>
      </c>
    </row>
    <row r="726" spans="1:11">
      <c r="A726">
        <v>725</v>
      </c>
      <c r="B726">
        <v>166552655</v>
      </c>
      <c r="C726" t="s">
        <v>320</v>
      </c>
      <c r="D726" t="s">
        <v>320</v>
      </c>
      <c r="E726" s="8" t="s">
        <v>85</v>
      </c>
      <c r="F726" t="s">
        <v>279</v>
      </c>
      <c r="G726" t="s">
        <v>779</v>
      </c>
      <c r="H726" t="s">
        <v>1070</v>
      </c>
      <c r="I726" s="2">
        <v>44897.758133993098</v>
      </c>
      <c r="J726" s="2">
        <v>44986</v>
      </c>
      <c r="K726" t="s">
        <v>510</v>
      </c>
    </row>
    <row r="727" spans="1:11">
      <c r="A727">
        <v>726</v>
      </c>
      <c r="B727">
        <v>169597363</v>
      </c>
      <c r="C727" t="s">
        <v>357</v>
      </c>
      <c r="D727" t="s">
        <v>357</v>
      </c>
      <c r="E727" s="8" t="s">
        <v>238</v>
      </c>
      <c r="F727" t="s">
        <v>272</v>
      </c>
      <c r="G727" t="s">
        <v>491</v>
      </c>
      <c r="H727" t="s">
        <v>1071</v>
      </c>
      <c r="I727" s="2">
        <v>44897.764248645799</v>
      </c>
      <c r="J727" s="2">
        <v>44915</v>
      </c>
      <c r="K727" t="s">
        <v>512</v>
      </c>
    </row>
    <row r="728" spans="1:11">
      <c r="A728">
        <v>727</v>
      </c>
      <c r="B728">
        <v>143060854</v>
      </c>
      <c r="C728" t="s">
        <v>357</v>
      </c>
      <c r="D728" t="s">
        <v>357</v>
      </c>
      <c r="E728" s="8" t="s">
        <v>443</v>
      </c>
      <c r="F728" t="s">
        <v>272</v>
      </c>
      <c r="G728" t="s">
        <v>491</v>
      </c>
      <c r="H728" t="s">
        <v>1071</v>
      </c>
      <c r="I728" s="2">
        <v>44897.787133101803</v>
      </c>
      <c r="J728" s="2">
        <v>44997</v>
      </c>
      <c r="K728" t="s">
        <v>514</v>
      </c>
    </row>
    <row r="729" spans="1:11">
      <c r="A729">
        <v>728</v>
      </c>
      <c r="B729">
        <v>166552643</v>
      </c>
      <c r="C729" t="s">
        <v>316</v>
      </c>
      <c r="D729" t="s">
        <v>1042</v>
      </c>
      <c r="E729" s="8" t="s">
        <v>70</v>
      </c>
      <c r="F729" t="s">
        <v>272</v>
      </c>
      <c r="G729" t="s">
        <v>779</v>
      </c>
      <c r="H729" t="s">
        <v>1070</v>
      </c>
      <c r="I729" s="2">
        <v>44897.8097724537</v>
      </c>
      <c r="J729" s="2">
        <v>44986</v>
      </c>
      <c r="K729" t="s">
        <v>510</v>
      </c>
    </row>
    <row r="730" spans="1:11">
      <c r="A730">
        <v>729</v>
      </c>
      <c r="B730">
        <v>168100964</v>
      </c>
      <c r="C730" t="s">
        <v>678</v>
      </c>
      <c r="D730" t="s">
        <v>678</v>
      </c>
      <c r="E730" s="8" t="s">
        <v>122</v>
      </c>
      <c r="F730" t="s">
        <v>1108</v>
      </c>
      <c r="G730" t="s">
        <v>779</v>
      </c>
      <c r="H730" t="s">
        <v>1070</v>
      </c>
      <c r="I730" s="2">
        <v>44897.873918136604</v>
      </c>
      <c r="J730" s="2">
        <v>44903</v>
      </c>
      <c r="K730" t="s">
        <v>511</v>
      </c>
    </row>
    <row r="731" spans="1:11">
      <c r="A731">
        <v>730</v>
      </c>
      <c r="B731">
        <v>164687217</v>
      </c>
      <c r="C731" t="s">
        <v>320</v>
      </c>
      <c r="D731" t="s">
        <v>320</v>
      </c>
      <c r="E731" s="8" t="s">
        <v>115</v>
      </c>
      <c r="F731" t="s">
        <v>272</v>
      </c>
      <c r="G731" t="s">
        <v>779</v>
      </c>
      <c r="H731" t="s">
        <v>1070</v>
      </c>
      <c r="I731" s="2">
        <v>44897.892384606501</v>
      </c>
      <c r="J731" s="2">
        <v>44986</v>
      </c>
      <c r="K731" t="s">
        <v>511</v>
      </c>
    </row>
    <row r="732" spans="1:11">
      <c r="A732">
        <v>731</v>
      </c>
      <c r="B732">
        <v>166551445</v>
      </c>
      <c r="C732" t="s">
        <v>980</v>
      </c>
      <c r="D732" t="s">
        <v>363</v>
      </c>
      <c r="E732" s="8" t="s">
        <v>127</v>
      </c>
      <c r="F732" t="s">
        <v>272</v>
      </c>
      <c r="G732" t="s">
        <v>779</v>
      </c>
      <c r="H732" t="s">
        <v>1070</v>
      </c>
      <c r="I732" s="2">
        <v>44897.957823842597</v>
      </c>
      <c r="J732" s="2">
        <v>44918</v>
      </c>
      <c r="K732" t="s">
        <v>511</v>
      </c>
    </row>
    <row r="733" spans="1:11">
      <c r="A733">
        <v>732</v>
      </c>
      <c r="B733">
        <v>166843905</v>
      </c>
      <c r="C733" t="s">
        <v>357</v>
      </c>
      <c r="D733" t="s">
        <v>357</v>
      </c>
      <c r="E733" s="8" t="s">
        <v>736</v>
      </c>
      <c r="F733" t="s">
        <v>272</v>
      </c>
      <c r="G733" t="s">
        <v>491</v>
      </c>
      <c r="H733" t="s">
        <v>1071</v>
      </c>
      <c r="I733" s="2">
        <v>44898.168368865699</v>
      </c>
      <c r="J733" s="2">
        <v>44959</v>
      </c>
      <c r="K733" t="s">
        <v>513</v>
      </c>
    </row>
    <row r="734" spans="1:11">
      <c r="A734">
        <v>733</v>
      </c>
      <c r="B734">
        <v>166551311</v>
      </c>
      <c r="C734" t="s">
        <v>678</v>
      </c>
      <c r="D734" t="s">
        <v>678</v>
      </c>
      <c r="E734" s="8" t="s">
        <v>488</v>
      </c>
      <c r="F734" t="s">
        <v>272</v>
      </c>
      <c r="G734" t="s">
        <v>499</v>
      </c>
      <c r="H734" t="s">
        <v>1070</v>
      </c>
      <c r="I734" s="2">
        <v>44898.669527743099</v>
      </c>
      <c r="J734" s="2">
        <v>45048</v>
      </c>
      <c r="K734" t="s">
        <v>514</v>
      </c>
    </row>
    <row r="735" spans="1:11">
      <c r="A735">
        <v>734</v>
      </c>
      <c r="B735">
        <v>166551337</v>
      </c>
      <c r="C735" t="s">
        <v>991</v>
      </c>
      <c r="D735" t="s">
        <v>363</v>
      </c>
      <c r="E735" s="8" t="s">
        <v>488</v>
      </c>
      <c r="F735" t="s">
        <v>272</v>
      </c>
      <c r="G735" t="s">
        <v>499</v>
      </c>
      <c r="H735" t="s">
        <v>1070</v>
      </c>
      <c r="I735" s="2">
        <v>44898.670476076397</v>
      </c>
      <c r="J735" s="2">
        <v>45051</v>
      </c>
      <c r="K735" t="s">
        <v>514</v>
      </c>
    </row>
    <row r="736" spans="1:11">
      <c r="A736">
        <v>735</v>
      </c>
      <c r="B736">
        <v>166551321</v>
      </c>
      <c r="C736" t="s">
        <v>357</v>
      </c>
      <c r="D736" t="s">
        <v>357</v>
      </c>
      <c r="E736" s="8" t="s">
        <v>488</v>
      </c>
      <c r="F736" t="s">
        <v>272</v>
      </c>
      <c r="G736" t="s">
        <v>499</v>
      </c>
      <c r="H736" t="s">
        <v>1070</v>
      </c>
      <c r="I736" s="2">
        <v>44898.672854201403</v>
      </c>
      <c r="J736" s="2">
        <v>45050</v>
      </c>
      <c r="K736" t="s">
        <v>514</v>
      </c>
    </row>
    <row r="737" spans="1:11">
      <c r="A737">
        <v>736</v>
      </c>
      <c r="B737">
        <v>166552597</v>
      </c>
      <c r="C737" t="s">
        <v>482</v>
      </c>
      <c r="D737" t="s">
        <v>1068</v>
      </c>
      <c r="E737" s="8" t="s">
        <v>124</v>
      </c>
      <c r="F737" t="s">
        <v>272</v>
      </c>
      <c r="G737" t="s">
        <v>779</v>
      </c>
      <c r="H737" t="s">
        <v>1070</v>
      </c>
      <c r="I737" s="2">
        <v>44900.619916585601</v>
      </c>
      <c r="J737" s="2">
        <v>44910</v>
      </c>
      <c r="K737" t="s">
        <v>511</v>
      </c>
    </row>
    <row r="738" spans="1:11">
      <c r="A738">
        <v>737</v>
      </c>
      <c r="B738">
        <v>168101006</v>
      </c>
      <c r="C738" t="s">
        <v>320</v>
      </c>
      <c r="D738" t="s">
        <v>320</v>
      </c>
      <c r="E738" s="8" t="s">
        <v>159</v>
      </c>
      <c r="F738" t="s">
        <v>272</v>
      </c>
      <c r="G738" t="s">
        <v>779</v>
      </c>
      <c r="H738" t="s">
        <v>1070</v>
      </c>
      <c r="I738" s="2">
        <v>44900.642447071798</v>
      </c>
      <c r="J738" s="2">
        <v>44990</v>
      </c>
      <c r="K738" t="s">
        <v>511</v>
      </c>
    </row>
    <row r="739" spans="1:11">
      <c r="A739">
        <v>738</v>
      </c>
      <c r="B739">
        <v>168098585</v>
      </c>
      <c r="C739" t="s">
        <v>357</v>
      </c>
      <c r="D739" t="s">
        <v>357</v>
      </c>
      <c r="E739" s="8" t="s">
        <v>750</v>
      </c>
      <c r="F739" t="s">
        <v>272</v>
      </c>
      <c r="I739" s="2">
        <v>44900.6482825231</v>
      </c>
      <c r="J739" s="2">
        <v>44994</v>
      </c>
      <c r="K739" t="s">
        <v>512</v>
      </c>
    </row>
    <row r="740" spans="1:11">
      <c r="A740">
        <v>739</v>
      </c>
      <c r="B740">
        <v>153141131</v>
      </c>
      <c r="C740" t="s">
        <v>678</v>
      </c>
      <c r="D740" t="s">
        <v>678</v>
      </c>
      <c r="E740" s="8" t="s">
        <v>222</v>
      </c>
      <c r="F740" t="s">
        <v>1108</v>
      </c>
      <c r="G740" t="s">
        <v>491</v>
      </c>
      <c r="H740" t="s">
        <v>1071</v>
      </c>
      <c r="I740" s="2">
        <v>44900.656385150498</v>
      </c>
      <c r="J740" s="2">
        <v>44904</v>
      </c>
      <c r="K740" t="s">
        <v>512</v>
      </c>
    </row>
    <row r="741" spans="1:11">
      <c r="A741">
        <v>740</v>
      </c>
      <c r="B741">
        <v>166553395</v>
      </c>
      <c r="C741" t="s">
        <v>357</v>
      </c>
      <c r="D741" t="s">
        <v>357</v>
      </c>
      <c r="E741" s="8" t="s">
        <v>61</v>
      </c>
      <c r="F741" t="s">
        <v>272</v>
      </c>
      <c r="G741" t="s">
        <v>779</v>
      </c>
      <c r="H741" t="s">
        <v>1070</v>
      </c>
      <c r="I741" s="2">
        <v>44900.668968749997</v>
      </c>
      <c r="J741" s="2">
        <v>44986</v>
      </c>
      <c r="K741" t="s">
        <v>510</v>
      </c>
    </row>
    <row r="742" spans="1:11">
      <c r="A742">
        <v>741</v>
      </c>
      <c r="B742">
        <v>166551341</v>
      </c>
      <c r="C742" t="s">
        <v>320</v>
      </c>
      <c r="D742" t="s">
        <v>320</v>
      </c>
      <c r="E742" s="8" t="s">
        <v>478</v>
      </c>
      <c r="F742" t="s">
        <v>276</v>
      </c>
      <c r="G742" t="s">
        <v>499</v>
      </c>
      <c r="H742" t="s">
        <v>1070</v>
      </c>
      <c r="I742" s="2">
        <v>44900.670657372699</v>
      </c>
      <c r="J742" s="2">
        <v>45033</v>
      </c>
      <c r="K742" t="s">
        <v>514</v>
      </c>
    </row>
    <row r="743" spans="1:11">
      <c r="A743">
        <v>742</v>
      </c>
      <c r="B743">
        <v>169597198</v>
      </c>
      <c r="C743" t="s">
        <v>320</v>
      </c>
      <c r="D743" t="s">
        <v>320</v>
      </c>
      <c r="E743" s="8" t="s">
        <v>223</v>
      </c>
      <c r="F743" t="s">
        <v>1108</v>
      </c>
      <c r="G743" t="s">
        <v>491</v>
      </c>
      <c r="H743" t="s">
        <v>1071</v>
      </c>
      <c r="I743" s="2">
        <v>44900.682803090298</v>
      </c>
      <c r="J743" s="2">
        <v>44905</v>
      </c>
      <c r="K743" t="s">
        <v>512</v>
      </c>
    </row>
    <row r="744" spans="1:11">
      <c r="A744">
        <v>743</v>
      </c>
      <c r="B744">
        <v>168100958</v>
      </c>
      <c r="C744" t="s">
        <v>342</v>
      </c>
      <c r="D744" t="s">
        <v>1068</v>
      </c>
      <c r="E744" s="8" t="s">
        <v>124</v>
      </c>
      <c r="F744" t="s">
        <v>272</v>
      </c>
      <c r="G744" t="s">
        <v>779</v>
      </c>
      <c r="H744" t="s">
        <v>1070</v>
      </c>
      <c r="I744" s="2">
        <v>44900.687316122698</v>
      </c>
      <c r="J744" s="2">
        <v>44908</v>
      </c>
      <c r="K744" t="s">
        <v>511</v>
      </c>
    </row>
    <row r="745" spans="1:11">
      <c r="A745">
        <v>744</v>
      </c>
      <c r="B745">
        <v>168100994</v>
      </c>
      <c r="C745" t="s">
        <v>342</v>
      </c>
      <c r="D745" t="s">
        <v>1068</v>
      </c>
      <c r="E745" s="8" t="s">
        <v>124</v>
      </c>
      <c r="F745" t="s">
        <v>272</v>
      </c>
      <c r="G745" t="s">
        <v>779</v>
      </c>
      <c r="H745" t="s">
        <v>1070</v>
      </c>
      <c r="I745" s="2">
        <v>44900.6947915856</v>
      </c>
      <c r="J745" s="2">
        <v>44909</v>
      </c>
      <c r="K745" t="s">
        <v>511</v>
      </c>
    </row>
    <row r="746" spans="1:11">
      <c r="A746">
        <v>745</v>
      </c>
      <c r="B746">
        <v>166841915</v>
      </c>
      <c r="C746" t="s">
        <v>320</v>
      </c>
      <c r="D746" t="s">
        <v>320</v>
      </c>
      <c r="E746" s="8" t="s">
        <v>109</v>
      </c>
      <c r="F746" t="s">
        <v>272</v>
      </c>
      <c r="G746" t="s">
        <v>779</v>
      </c>
      <c r="H746" t="s">
        <v>1070</v>
      </c>
      <c r="I746" s="2">
        <v>44900.803951307898</v>
      </c>
      <c r="J746" s="2">
        <v>44986</v>
      </c>
      <c r="K746" t="s">
        <v>511</v>
      </c>
    </row>
    <row r="747" spans="1:11">
      <c r="A747">
        <v>746</v>
      </c>
      <c r="B747">
        <v>166552667</v>
      </c>
      <c r="C747" t="s">
        <v>320</v>
      </c>
      <c r="D747" t="s">
        <v>320</v>
      </c>
      <c r="E747" s="8" t="s">
        <v>115</v>
      </c>
      <c r="F747" t="s">
        <v>272</v>
      </c>
      <c r="G747" t="s">
        <v>779</v>
      </c>
      <c r="H747" t="s">
        <v>1070</v>
      </c>
      <c r="I747" s="2">
        <v>44900.804972916703</v>
      </c>
      <c r="J747" s="2">
        <v>44986</v>
      </c>
      <c r="K747" t="s">
        <v>511</v>
      </c>
    </row>
    <row r="748" spans="1:11">
      <c r="A748">
        <v>747</v>
      </c>
      <c r="B748">
        <v>157993028</v>
      </c>
      <c r="C748" t="s">
        <v>335</v>
      </c>
      <c r="D748" t="s">
        <v>1042</v>
      </c>
      <c r="E748" s="8" t="s">
        <v>115</v>
      </c>
      <c r="F748" t="s">
        <v>272</v>
      </c>
      <c r="G748" t="s">
        <v>779</v>
      </c>
      <c r="H748" t="s">
        <v>1070</v>
      </c>
      <c r="I748" s="2">
        <v>44900.819051238403</v>
      </c>
      <c r="J748" s="2">
        <v>44986</v>
      </c>
      <c r="K748" t="s">
        <v>511</v>
      </c>
    </row>
    <row r="749" spans="1:11">
      <c r="A749">
        <v>748</v>
      </c>
      <c r="B749">
        <v>168100295</v>
      </c>
      <c r="C749" t="s">
        <v>434</v>
      </c>
      <c r="D749" t="s">
        <v>357</v>
      </c>
      <c r="E749" s="8" t="s">
        <v>431</v>
      </c>
      <c r="F749" t="s">
        <v>272</v>
      </c>
      <c r="G749" t="s">
        <v>491</v>
      </c>
      <c r="H749" t="s">
        <v>1071</v>
      </c>
      <c r="I749" s="2">
        <v>44900.850031793998</v>
      </c>
      <c r="J749" s="2">
        <v>44976</v>
      </c>
      <c r="K749" t="s">
        <v>513</v>
      </c>
    </row>
    <row r="750" spans="1:11">
      <c r="A750">
        <v>749</v>
      </c>
      <c r="B750">
        <v>168099662</v>
      </c>
      <c r="C750" t="s">
        <v>320</v>
      </c>
      <c r="D750" t="s">
        <v>320</v>
      </c>
      <c r="E750" s="8"/>
      <c r="F750" t="s">
        <v>272</v>
      </c>
      <c r="G750" t="s">
        <v>491</v>
      </c>
      <c r="H750" t="s">
        <v>1071</v>
      </c>
      <c r="I750" s="2">
        <v>44900.854188773097</v>
      </c>
      <c r="J750" s="2">
        <v>44977</v>
      </c>
      <c r="K750" t="s">
        <v>513</v>
      </c>
    </row>
    <row r="751" spans="1:11">
      <c r="A751">
        <v>750</v>
      </c>
      <c r="B751">
        <v>169597483</v>
      </c>
      <c r="C751" t="s">
        <v>320</v>
      </c>
      <c r="D751" t="s">
        <v>320</v>
      </c>
      <c r="E751" s="8" t="s">
        <v>131</v>
      </c>
      <c r="F751" t="s">
        <v>273</v>
      </c>
      <c r="G751" t="s">
        <v>779</v>
      </c>
      <c r="H751" t="s">
        <v>1070</v>
      </c>
      <c r="I751" s="2">
        <v>44900.871159918999</v>
      </c>
      <c r="J751" s="2">
        <v>44928</v>
      </c>
      <c r="K751" t="s">
        <v>511</v>
      </c>
    </row>
    <row r="752" spans="1:11">
      <c r="A752">
        <v>751</v>
      </c>
      <c r="B752">
        <v>166842983</v>
      </c>
      <c r="C752" t="s">
        <v>1008</v>
      </c>
      <c r="D752" t="s">
        <v>1042</v>
      </c>
      <c r="E752" s="8" t="s">
        <v>476</v>
      </c>
      <c r="F752" t="s">
        <v>272</v>
      </c>
      <c r="G752" t="s">
        <v>499</v>
      </c>
      <c r="H752" t="s">
        <v>1070</v>
      </c>
      <c r="I752" s="2">
        <v>44900.890641168997</v>
      </c>
      <c r="J752" s="2">
        <v>45029</v>
      </c>
      <c r="K752" t="s">
        <v>514</v>
      </c>
    </row>
    <row r="753" spans="1:11">
      <c r="A753">
        <v>752</v>
      </c>
      <c r="B753">
        <v>166842985</v>
      </c>
      <c r="C753" t="s">
        <v>678</v>
      </c>
      <c r="D753" t="s">
        <v>678</v>
      </c>
      <c r="E753" s="8" t="s">
        <v>475</v>
      </c>
      <c r="F753" t="s">
        <v>274</v>
      </c>
      <c r="G753" t="s">
        <v>499</v>
      </c>
      <c r="H753" t="s">
        <v>1070</v>
      </c>
      <c r="I753" s="2">
        <v>44900.895028206003</v>
      </c>
      <c r="J753" s="2">
        <v>45027</v>
      </c>
      <c r="K753" t="s">
        <v>514</v>
      </c>
    </row>
    <row r="754" spans="1:11">
      <c r="A754">
        <v>753</v>
      </c>
      <c r="B754">
        <v>166842993</v>
      </c>
      <c r="C754" t="s">
        <v>678</v>
      </c>
      <c r="D754" t="s">
        <v>678</v>
      </c>
      <c r="E754" s="8" t="s">
        <v>475</v>
      </c>
      <c r="F754" t="s">
        <v>274</v>
      </c>
      <c r="G754" t="s">
        <v>499</v>
      </c>
      <c r="H754" t="s">
        <v>1070</v>
      </c>
      <c r="I754" s="2">
        <v>44900.904885960597</v>
      </c>
      <c r="J754" s="2">
        <v>45028</v>
      </c>
      <c r="K754" t="s">
        <v>514</v>
      </c>
    </row>
    <row r="755" spans="1:11">
      <c r="A755">
        <v>754</v>
      </c>
      <c r="B755">
        <v>166551343</v>
      </c>
      <c r="C755" t="s">
        <v>480</v>
      </c>
      <c r="D755" t="s">
        <v>1042</v>
      </c>
      <c r="E755" s="8" t="s">
        <v>481</v>
      </c>
      <c r="F755" t="s">
        <v>272</v>
      </c>
      <c r="G755" t="s">
        <v>499</v>
      </c>
      <c r="H755" t="s">
        <v>1070</v>
      </c>
      <c r="I755" s="2">
        <v>44900.924767905097</v>
      </c>
      <c r="J755" s="2">
        <v>45037</v>
      </c>
      <c r="K755" t="s">
        <v>514</v>
      </c>
    </row>
    <row r="756" spans="1:11">
      <c r="A756">
        <v>755</v>
      </c>
      <c r="B756">
        <v>166841787</v>
      </c>
      <c r="C756" t="s">
        <v>941</v>
      </c>
      <c r="D756" t="s">
        <v>1042</v>
      </c>
      <c r="E756" s="8" t="s">
        <v>164</v>
      </c>
      <c r="F756" t="s">
        <v>278</v>
      </c>
      <c r="I756" s="2">
        <v>44900.928951157402</v>
      </c>
      <c r="J756" s="2">
        <v>44936</v>
      </c>
      <c r="K756" t="s">
        <v>512</v>
      </c>
    </row>
    <row r="757" spans="1:11">
      <c r="A757">
        <v>756</v>
      </c>
      <c r="B757">
        <v>166842987</v>
      </c>
      <c r="C757" t="s">
        <v>678</v>
      </c>
      <c r="D757" t="s">
        <v>678</v>
      </c>
      <c r="E757" s="8" t="s">
        <v>477</v>
      </c>
      <c r="F757" t="s">
        <v>274</v>
      </c>
      <c r="G757" t="s">
        <v>499</v>
      </c>
      <c r="H757" t="s">
        <v>1070</v>
      </c>
      <c r="I757" s="2">
        <v>44900.990529085597</v>
      </c>
      <c r="J757" s="2">
        <v>45030</v>
      </c>
      <c r="K757" t="s">
        <v>514</v>
      </c>
    </row>
    <row r="758" spans="1:11">
      <c r="A758">
        <v>757</v>
      </c>
      <c r="B758">
        <v>166551335</v>
      </c>
      <c r="C758" t="s">
        <v>306</v>
      </c>
      <c r="D758" t="s">
        <v>306</v>
      </c>
      <c r="E758" s="8" t="s">
        <v>478</v>
      </c>
      <c r="F758" t="s">
        <v>276</v>
      </c>
      <c r="G758" t="s">
        <v>499</v>
      </c>
      <c r="H758" t="s">
        <v>1070</v>
      </c>
      <c r="I758" s="2">
        <v>44900.9943712616</v>
      </c>
      <c r="J758" s="2">
        <v>45032</v>
      </c>
      <c r="K758" t="s">
        <v>514</v>
      </c>
    </row>
    <row r="759" spans="1:11">
      <c r="A759">
        <v>758</v>
      </c>
      <c r="B759">
        <v>166549159</v>
      </c>
      <c r="C759" t="s">
        <v>357</v>
      </c>
      <c r="D759" t="s">
        <v>357</v>
      </c>
      <c r="E759" s="8" t="s">
        <v>51</v>
      </c>
      <c r="F759" t="s">
        <v>272</v>
      </c>
      <c r="G759" t="s">
        <v>779</v>
      </c>
      <c r="H759" t="s">
        <v>1070</v>
      </c>
      <c r="I759" s="2">
        <v>44901.448450960597</v>
      </c>
      <c r="J759" s="2">
        <v>44986</v>
      </c>
      <c r="K759" t="s">
        <v>510</v>
      </c>
    </row>
    <row r="760" spans="1:11">
      <c r="A760">
        <v>759</v>
      </c>
      <c r="B760">
        <v>166549277</v>
      </c>
      <c r="C760" t="s">
        <v>357</v>
      </c>
      <c r="D760" t="s">
        <v>357</v>
      </c>
      <c r="E760" s="8" t="s">
        <v>479</v>
      </c>
      <c r="F760" t="s">
        <v>272</v>
      </c>
      <c r="G760" t="s">
        <v>499</v>
      </c>
      <c r="H760" t="s">
        <v>1070</v>
      </c>
      <c r="I760" s="2">
        <v>44901.476009178201</v>
      </c>
      <c r="J760" s="2">
        <v>45034</v>
      </c>
      <c r="K760" t="s">
        <v>514</v>
      </c>
    </row>
    <row r="761" spans="1:11">
      <c r="A761">
        <v>760</v>
      </c>
      <c r="B761">
        <v>166551329</v>
      </c>
      <c r="C761" t="s">
        <v>480</v>
      </c>
      <c r="D761" t="s">
        <v>1042</v>
      </c>
      <c r="E761" s="8" t="s">
        <v>481</v>
      </c>
      <c r="F761" t="s">
        <v>272</v>
      </c>
      <c r="G761" t="s">
        <v>499</v>
      </c>
      <c r="H761" t="s">
        <v>1070</v>
      </c>
      <c r="I761" s="2">
        <v>44901.486006330997</v>
      </c>
      <c r="J761" s="2">
        <v>45038</v>
      </c>
      <c r="K761" t="s">
        <v>514</v>
      </c>
    </row>
    <row r="762" spans="1:11">
      <c r="A762">
        <v>761</v>
      </c>
      <c r="B762">
        <v>166549157</v>
      </c>
      <c r="D762" t="s">
        <v>1108</v>
      </c>
      <c r="E762" s="8" t="s">
        <v>50</v>
      </c>
      <c r="F762" t="s">
        <v>273</v>
      </c>
      <c r="G762" t="s">
        <v>779</v>
      </c>
      <c r="H762" t="s">
        <v>1070</v>
      </c>
      <c r="I762" s="2">
        <v>44901.499160150503</v>
      </c>
      <c r="J762" s="2">
        <v>44986</v>
      </c>
      <c r="K762" t="s">
        <v>510</v>
      </c>
    </row>
    <row r="763" spans="1:11">
      <c r="A763">
        <v>762</v>
      </c>
      <c r="B763">
        <v>166842811</v>
      </c>
      <c r="C763" t="s">
        <v>320</v>
      </c>
      <c r="D763" t="s">
        <v>320</v>
      </c>
      <c r="E763" s="8" t="s">
        <v>51</v>
      </c>
      <c r="F763" t="s">
        <v>272</v>
      </c>
      <c r="G763" t="s">
        <v>779</v>
      </c>
      <c r="H763" t="s">
        <v>1070</v>
      </c>
      <c r="I763" s="2">
        <v>44901.501019756899</v>
      </c>
      <c r="J763" s="2">
        <v>44986</v>
      </c>
      <c r="K763" t="s">
        <v>510</v>
      </c>
    </row>
    <row r="764" spans="1:11">
      <c r="A764">
        <v>763</v>
      </c>
      <c r="B764">
        <v>166549265</v>
      </c>
      <c r="C764" t="s">
        <v>472</v>
      </c>
      <c r="D764" t="s">
        <v>401</v>
      </c>
      <c r="E764" s="8"/>
      <c r="F764" t="s">
        <v>1108</v>
      </c>
      <c r="G764" t="s">
        <v>499</v>
      </c>
      <c r="H764" t="s">
        <v>1070</v>
      </c>
      <c r="I764" s="2">
        <v>44901.582562002302</v>
      </c>
      <c r="J764" s="2">
        <v>45022</v>
      </c>
      <c r="K764" t="s">
        <v>514</v>
      </c>
    </row>
    <row r="765" spans="1:11">
      <c r="A765">
        <v>764</v>
      </c>
      <c r="B765">
        <v>168101021</v>
      </c>
      <c r="C765" t="s">
        <v>357</v>
      </c>
      <c r="D765" t="s">
        <v>357</v>
      </c>
      <c r="E765" s="8" t="s">
        <v>139</v>
      </c>
      <c r="F765" t="s">
        <v>1108</v>
      </c>
      <c r="G765" t="s">
        <v>779</v>
      </c>
      <c r="H765" t="s">
        <v>1070</v>
      </c>
      <c r="I765" s="2">
        <v>44901.608478090297</v>
      </c>
      <c r="J765" s="2">
        <v>44947</v>
      </c>
      <c r="K765" t="s">
        <v>511</v>
      </c>
    </row>
    <row r="766" spans="1:11">
      <c r="A766">
        <v>765</v>
      </c>
      <c r="B766">
        <v>166843609</v>
      </c>
      <c r="C766" t="s">
        <v>320</v>
      </c>
      <c r="D766" t="s">
        <v>320</v>
      </c>
      <c r="E766" s="8" t="s">
        <v>424</v>
      </c>
      <c r="F766" t="s">
        <v>272</v>
      </c>
      <c r="G766" t="s">
        <v>491</v>
      </c>
      <c r="H766" t="s">
        <v>1071</v>
      </c>
      <c r="I766" s="2">
        <v>44901.632937731498</v>
      </c>
      <c r="J766" s="2">
        <v>44948</v>
      </c>
      <c r="K766" t="s">
        <v>512</v>
      </c>
    </row>
    <row r="767" spans="1:11">
      <c r="A767">
        <v>766</v>
      </c>
      <c r="B767">
        <v>166843611</v>
      </c>
      <c r="C767" t="s">
        <v>357</v>
      </c>
      <c r="D767" t="s">
        <v>357</v>
      </c>
      <c r="E767" s="8" t="s">
        <v>424</v>
      </c>
      <c r="F767" t="s">
        <v>272</v>
      </c>
      <c r="G767" t="s">
        <v>491</v>
      </c>
      <c r="H767" t="s">
        <v>1071</v>
      </c>
      <c r="I767" s="2">
        <v>44901.635825659701</v>
      </c>
      <c r="J767" s="2">
        <v>44949</v>
      </c>
      <c r="K767" t="s">
        <v>512</v>
      </c>
    </row>
    <row r="768" spans="1:11">
      <c r="A768">
        <v>767</v>
      </c>
      <c r="B768">
        <v>166842313</v>
      </c>
      <c r="C768" t="s">
        <v>938</v>
      </c>
      <c r="D768" t="s">
        <v>401</v>
      </c>
      <c r="E768" s="8" t="s">
        <v>181</v>
      </c>
      <c r="F768" t="s">
        <v>272</v>
      </c>
      <c r="G768" t="s">
        <v>779</v>
      </c>
      <c r="H768" t="s">
        <v>1070</v>
      </c>
      <c r="I768" s="2">
        <v>44901.661164849502</v>
      </c>
      <c r="J768" s="2">
        <v>44960</v>
      </c>
      <c r="K768" t="s">
        <v>512</v>
      </c>
    </row>
    <row r="769" spans="1:11">
      <c r="A769">
        <v>768</v>
      </c>
      <c r="B769">
        <v>166842315</v>
      </c>
      <c r="C769" t="s">
        <v>320</v>
      </c>
      <c r="D769" t="s">
        <v>320</v>
      </c>
      <c r="E769" s="8" t="s">
        <v>181</v>
      </c>
      <c r="F769" t="s">
        <v>272</v>
      </c>
      <c r="G769" t="s">
        <v>779</v>
      </c>
      <c r="H769" t="s">
        <v>1070</v>
      </c>
      <c r="I769" s="2">
        <v>44901.663921215302</v>
      </c>
      <c r="J769" s="2">
        <v>44962</v>
      </c>
      <c r="K769" t="s">
        <v>512</v>
      </c>
    </row>
    <row r="770" spans="1:11">
      <c r="A770">
        <v>769</v>
      </c>
      <c r="B770">
        <v>166842327</v>
      </c>
      <c r="C770" t="s">
        <v>919</v>
      </c>
      <c r="D770" s="20" t="s">
        <v>1068</v>
      </c>
      <c r="E770" s="8" t="s">
        <v>181</v>
      </c>
      <c r="F770" t="s">
        <v>272</v>
      </c>
      <c r="G770" t="s">
        <v>779</v>
      </c>
      <c r="H770" t="s">
        <v>1070</v>
      </c>
      <c r="I770" s="2">
        <v>44901.665549849502</v>
      </c>
      <c r="J770" s="2">
        <v>44964</v>
      </c>
      <c r="K770" t="s">
        <v>512</v>
      </c>
    </row>
    <row r="771" spans="1:11">
      <c r="A771">
        <v>770</v>
      </c>
      <c r="B771">
        <v>166843335</v>
      </c>
      <c r="C771" t="s">
        <v>320</v>
      </c>
      <c r="D771" t="s">
        <v>320</v>
      </c>
      <c r="E771" s="8" t="s">
        <v>149</v>
      </c>
      <c r="F771" t="s">
        <v>274</v>
      </c>
      <c r="G771" t="s">
        <v>779</v>
      </c>
      <c r="H771" t="s">
        <v>1070</v>
      </c>
      <c r="I771" s="2">
        <v>44901.666524502303</v>
      </c>
      <c r="J771" s="2">
        <v>44968</v>
      </c>
      <c r="K771" t="s">
        <v>511</v>
      </c>
    </row>
    <row r="772" spans="1:11">
      <c r="A772">
        <v>771</v>
      </c>
      <c r="B772">
        <v>166842325</v>
      </c>
      <c r="C772" t="s">
        <v>372</v>
      </c>
      <c r="D772" t="s">
        <v>401</v>
      </c>
      <c r="E772" s="8" t="s">
        <v>181</v>
      </c>
      <c r="F772" t="s">
        <v>272</v>
      </c>
      <c r="G772" t="s">
        <v>779</v>
      </c>
      <c r="H772" t="s">
        <v>1070</v>
      </c>
      <c r="I772" s="2">
        <v>44901.667787303202</v>
      </c>
      <c r="J772" s="2">
        <v>44961</v>
      </c>
      <c r="K772" t="s">
        <v>512</v>
      </c>
    </row>
    <row r="773" spans="1:11">
      <c r="A773">
        <v>772</v>
      </c>
      <c r="B773">
        <v>166842305</v>
      </c>
      <c r="C773" t="s">
        <v>357</v>
      </c>
      <c r="D773" t="s">
        <v>357</v>
      </c>
      <c r="E773" s="8" t="s">
        <v>181</v>
      </c>
      <c r="F773" t="s">
        <v>272</v>
      </c>
      <c r="G773" t="s">
        <v>779</v>
      </c>
      <c r="H773" t="s">
        <v>1070</v>
      </c>
      <c r="I773" s="2">
        <v>44901.721999768502</v>
      </c>
      <c r="J773" s="2">
        <v>44963</v>
      </c>
      <c r="K773" t="s">
        <v>512</v>
      </c>
    </row>
    <row r="774" spans="1:11">
      <c r="A774">
        <v>773</v>
      </c>
      <c r="B774">
        <v>166842333</v>
      </c>
      <c r="C774" t="s">
        <v>678</v>
      </c>
      <c r="D774" t="s">
        <v>678</v>
      </c>
      <c r="E774" s="8" t="s">
        <v>181</v>
      </c>
      <c r="F774" t="s">
        <v>272</v>
      </c>
      <c r="G774" t="s">
        <v>779</v>
      </c>
      <c r="H774" t="s">
        <v>1070</v>
      </c>
      <c r="I774" s="2">
        <v>44901.723570335598</v>
      </c>
      <c r="J774" s="2">
        <v>44965</v>
      </c>
      <c r="K774" t="s">
        <v>512</v>
      </c>
    </row>
    <row r="775" spans="1:11">
      <c r="A775">
        <v>774</v>
      </c>
      <c r="B775">
        <v>166552687</v>
      </c>
      <c r="C775" t="s">
        <v>993</v>
      </c>
      <c r="D775" t="s">
        <v>1042</v>
      </c>
      <c r="E775" s="8" t="s">
        <v>69</v>
      </c>
      <c r="F775" t="s">
        <v>272</v>
      </c>
      <c r="G775" t="s">
        <v>779</v>
      </c>
      <c r="H775" t="s">
        <v>1070</v>
      </c>
      <c r="I775" s="2">
        <v>44901.728532025503</v>
      </c>
      <c r="J775" s="2">
        <v>44986</v>
      </c>
      <c r="K775" t="s">
        <v>510</v>
      </c>
    </row>
    <row r="776" spans="1:11">
      <c r="A776">
        <v>775</v>
      </c>
      <c r="B776">
        <v>166552675</v>
      </c>
      <c r="C776" t="s">
        <v>340</v>
      </c>
      <c r="D776" t="s">
        <v>1042</v>
      </c>
      <c r="E776" s="8" t="s">
        <v>118</v>
      </c>
      <c r="F776" t="s">
        <v>272</v>
      </c>
      <c r="G776" t="s">
        <v>779</v>
      </c>
      <c r="H776" t="s">
        <v>1070</v>
      </c>
      <c r="I776" s="2">
        <v>44901.751582372701</v>
      </c>
      <c r="J776" s="2">
        <v>44986</v>
      </c>
      <c r="K776" t="s">
        <v>511</v>
      </c>
    </row>
    <row r="777" spans="1:11">
      <c r="A777">
        <v>776</v>
      </c>
      <c r="B777">
        <v>143030092</v>
      </c>
      <c r="C777" t="s">
        <v>468</v>
      </c>
      <c r="D777" s="20" t="s">
        <v>1068</v>
      </c>
      <c r="E777" s="8" t="s">
        <v>466</v>
      </c>
      <c r="F777" t="s">
        <v>274</v>
      </c>
      <c r="G777" t="s">
        <v>491</v>
      </c>
      <c r="H777" t="s">
        <v>1071</v>
      </c>
      <c r="I777" s="2">
        <v>44901.759837963</v>
      </c>
      <c r="J777" s="2">
        <v>45001</v>
      </c>
      <c r="K777" t="s">
        <v>514</v>
      </c>
    </row>
    <row r="778" spans="1:11">
      <c r="A778">
        <v>777</v>
      </c>
      <c r="B778">
        <v>166842301</v>
      </c>
      <c r="C778" t="s">
        <v>1018</v>
      </c>
      <c r="D778" t="s">
        <v>363</v>
      </c>
      <c r="E778" s="8" t="s">
        <v>181</v>
      </c>
      <c r="F778" t="s">
        <v>272</v>
      </c>
      <c r="G778" t="s">
        <v>779</v>
      </c>
      <c r="H778" t="s">
        <v>1070</v>
      </c>
      <c r="I778" s="2">
        <v>44901.7676194097</v>
      </c>
      <c r="J778" s="2">
        <v>44959</v>
      </c>
      <c r="K778" t="s">
        <v>512</v>
      </c>
    </row>
    <row r="779" spans="1:11">
      <c r="A779">
        <v>778</v>
      </c>
      <c r="B779">
        <v>166551655</v>
      </c>
      <c r="C779" t="s">
        <v>320</v>
      </c>
      <c r="D779" t="s">
        <v>320</v>
      </c>
      <c r="E779" s="8" t="s">
        <v>226</v>
      </c>
      <c r="F779" t="s">
        <v>272</v>
      </c>
      <c r="G779" t="s">
        <v>491</v>
      </c>
      <c r="H779" t="s">
        <v>1071</v>
      </c>
      <c r="I779" s="2">
        <v>44901.824993668997</v>
      </c>
      <c r="J779" s="2">
        <v>44909</v>
      </c>
      <c r="K779" t="s">
        <v>512</v>
      </c>
    </row>
    <row r="780" spans="1:11">
      <c r="A780">
        <v>779</v>
      </c>
      <c r="B780">
        <v>157994262</v>
      </c>
      <c r="C780" t="s">
        <v>320</v>
      </c>
      <c r="D780" t="s">
        <v>320</v>
      </c>
      <c r="E780" s="8" t="s">
        <v>117</v>
      </c>
      <c r="F780" t="s">
        <v>272</v>
      </c>
      <c r="G780" t="s">
        <v>779</v>
      </c>
      <c r="H780" t="s">
        <v>1070</v>
      </c>
      <c r="I780" s="2">
        <v>44901.873303125001</v>
      </c>
      <c r="J780" s="2">
        <v>44986</v>
      </c>
      <c r="K780" t="s">
        <v>511</v>
      </c>
    </row>
    <row r="781" spans="1:11">
      <c r="A781">
        <v>780</v>
      </c>
      <c r="B781">
        <v>159068828</v>
      </c>
      <c r="C781" t="s">
        <v>320</v>
      </c>
      <c r="D781" t="s">
        <v>320</v>
      </c>
      <c r="E781" s="8" t="s">
        <v>117</v>
      </c>
      <c r="F781" t="s">
        <v>272</v>
      </c>
      <c r="G781" t="s">
        <v>779</v>
      </c>
      <c r="H781" t="s">
        <v>1070</v>
      </c>
      <c r="I781" s="2">
        <v>44901.875235150503</v>
      </c>
      <c r="J781" s="2">
        <v>44986</v>
      </c>
      <c r="K781" t="s">
        <v>511</v>
      </c>
    </row>
    <row r="782" spans="1:11">
      <c r="A782">
        <v>781</v>
      </c>
      <c r="B782">
        <v>166549161</v>
      </c>
      <c r="C782" t="s">
        <v>357</v>
      </c>
      <c r="D782" t="s">
        <v>357</v>
      </c>
      <c r="E782" s="8" t="s">
        <v>101</v>
      </c>
      <c r="F782" t="s">
        <v>272</v>
      </c>
      <c r="G782" t="s">
        <v>779</v>
      </c>
      <c r="H782" t="s">
        <v>1070</v>
      </c>
      <c r="I782" s="2">
        <v>44901.931031794004</v>
      </c>
      <c r="J782" s="2">
        <v>44986</v>
      </c>
      <c r="K782" t="s">
        <v>511</v>
      </c>
    </row>
    <row r="783" spans="1:11">
      <c r="A783">
        <v>782</v>
      </c>
      <c r="B783">
        <v>168101048</v>
      </c>
      <c r="C783" t="s">
        <v>352</v>
      </c>
      <c r="D783" t="s">
        <v>1042</v>
      </c>
      <c r="E783" s="8" t="s">
        <v>135</v>
      </c>
      <c r="F783" t="s">
        <v>274</v>
      </c>
      <c r="G783" t="s">
        <v>779</v>
      </c>
      <c r="H783" t="s">
        <v>1070</v>
      </c>
      <c r="I783" s="2">
        <v>44902.5540743866</v>
      </c>
      <c r="J783" s="2">
        <v>44942</v>
      </c>
      <c r="K783" t="s">
        <v>511</v>
      </c>
    </row>
    <row r="784" spans="1:11">
      <c r="A784">
        <v>783</v>
      </c>
      <c r="B784">
        <v>168101036</v>
      </c>
      <c r="C784" t="s">
        <v>405</v>
      </c>
      <c r="D784" s="20" t="s">
        <v>1068</v>
      </c>
      <c r="E784" s="8" t="s">
        <v>137</v>
      </c>
      <c r="F784" t="s">
        <v>1108</v>
      </c>
      <c r="G784" t="s">
        <v>779</v>
      </c>
      <c r="H784" t="s">
        <v>1070</v>
      </c>
      <c r="I784" s="2">
        <v>44902.794558449103</v>
      </c>
      <c r="J784" s="2">
        <v>44944</v>
      </c>
      <c r="K784" t="s">
        <v>511</v>
      </c>
    </row>
    <row r="785" spans="1:11">
      <c r="A785">
        <v>784</v>
      </c>
      <c r="B785">
        <v>168100967</v>
      </c>
      <c r="C785" t="s">
        <v>295</v>
      </c>
      <c r="D785" s="20" t="s">
        <v>1068</v>
      </c>
      <c r="E785" s="8" t="s">
        <v>136</v>
      </c>
      <c r="F785" t="s">
        <v>1108</v>
      </c>
      <c r="G785" t="s">
        <v>779</v>
      </c>
      <c r="H785" t="s">
        <v>1070</v>
      </c>
      <c r="I785" s="2">
        <v>44902.795259606501</v>
      </c>
      <c r="J785" s="2">
        <v>44943</v>
      </c>
      <c r="K785" t="s">
        <v>511</v>
      </c>
    </row>
    <row r="786" spans="1:11">
      <c r="A786">
        <v>785</v>
      </c>
      <c r="B786">
        <v>166549163</v>
      </c>
      <c r="C786" t="s">
        <v>320</v>
      </c>
      <c r="D786" t="s">
        <v>320</v>
      </c>
      <c r="E786" s="8" t="s">
        <v>99</v>
      </c>
      <c r="F786" t="s">
        <v>274</v>
      </c>
      <c r="G786" t="s">
        <v>779</v>
      </c>
      <c r="H786" t="s">
        <v>1070</v>
      </c>
      <c r="I786" s="2">
        <v>44902.799162928197</v>
      </c>
      <c r="J786" s="2">
        <v>44986</v>
      </c>
      <c r="K786" t="s">
        <v>511</v>
      </c>
    </row>
    <row r="787" spans="1:11">
      <c r="A787">
        <v>786</v>
      </c>
      <c r="B787">
        <v>166551731</v>
      </c>
      <c r="D787" t="s">
        <v>1108</v>
      </c>
      <c r="E787" s="8" t="s">
        <v>431</v>
      </c>
      <c r="F787" t="s">
        <v>272</v>
      </c>
      <c r="G787" t="s">
        <v>491</v>
      </c>
      <c r="H787" t="s">
        <v>1071</v>
      </c>
      <c r="I787" s="2">
        <v>44902.929439201398</v>
      </c>
      <c r="J787" s="2">
        <v>44965</v>
      </c>
      <c r="K787" t="s">
        <v>513</v>
      </c>
    </row>
    <row r="788" spans="1:11">
      <c r="A788">
        <v>787</v>
      </c>
      <c r="B788">
        <v>166551787</v>
      </c>
      <c r="C788" t="s">
        <v>357</v>
      </c>
      <c r="D788" t="s">
        <v>357</v>
      </c>
      <c r="E788" s="8" t="s">
        <v>470</v>
      </c>
      <c r="F788" t="s">
        <v>1108</v>
      </c>
      <c r="G788" t="s">
        <v>499</v>
      </c>
      <c r="H788" t="s">
        <v>1070</v>
      </c>
      <c r="I788" s="2">
        <v>44903.041804479202</v>
      </c>
      <c r="J788" s="2">
        <v>45014</v>
      </c>
      <c r="K788" t="s">
        <v>514</v>
      </c>
    </row>
    <row r="789" spans="1:11">
      <c r="A789">
        <v>788</v>
      </c>
      <c r="B789">
        <v>168098396</v>
      </c>
      <c r="C789" t="s">
        <v>959</v>
      </c>
      <c r="D789" t="s">
        <v>1042</v>
      </c>
      <c r="E789" s="8" t="s">
        <v>149</v>
      </c>
      <c r="F789" t="s">
        <v>274</v>
      </c>
      <c r="G789" t="s">
        <v>779</v>
      </c>
      <c r="H789" t="s">
        <v>1070</v>
      </c>
      <c r="I789" s="2">
        <v>44903.426783599498</v>
      </c>
      <c r="J789" s="2">
        <v>44969</v>
      </c>
      <c r="K789" t="s">
        <v>511</v>
      </c>
    </row>
    <row r="790" spans="1:11">
      <c r="A790">
        <v>789</v>
      </c>
      <c r="B790">
        <v>166842307</v>
      </c>
      <c r="C790" t="s">
        <v>1009</v>
      </c>
      <c r="D790" t="s">
        <v>1042</v>
      </c>
      <c r="E790" s="8" t="s">
        <v>175</v>
      </c>
      <c r="F790" t="s">
        <v>274</v>
      </c>
      <c r="G790" t="s">
        <v>779</v>
      </c>
      <c r="H790" t="s">
        <v>1070</v>
      </c>
      <c r="I790" s="2">
        <v>44903.538357141202</v>
      </c>
      <c r="J790" s="2">
        <v>44955</v>
      </c>
      <c r="K790" t="s">
        <v>512</v>
      </c>
    </row>
    <row r="791" spans="1:11">
      <c r="A791">
        <v>790</v>
      </c>
      <c r="B791">
        <v>171649357</v>
      </c>
      <c r="C791" t="s">
        <v>1037</v>
      </c>
      <c r="D791" t="s">
        <v>363</v>
      </c>
      <c r="E791" s="8"/>
      <c r="F791" t="s">
        <v>274</v>
      </c>
      <c r="G791" t="s">
        <v>491</v>
      </c>
      <c r="H791" t="s">
        <v>1071</v>
      </c>
      <c r="I791" s="2">
        <v>44903.559122025501</v>
      </c>
      <c r="J791" s="2">
        <v>45000</v>
      </c>
      <c r="K791" t="s">
        <v>514</v>
      </c>
    </row>
    <row r="792" spans="1:11">
      <c r="A792">
        <v>791</v>
      </c>
      <c r="B792">
        <v>166551745</v>
      </c>
      <c r="C792" t="s">
        <v>1010</v>
      </c>
      <c r="D792" t="s">
        <v>1042</v>
      </c>
      <c r="E792" s="8" t="s">
        <v>431</v>
      </c>
      <c r="F792" t="s">
        <v>272</v>
      </c>
      <c r="G792" t="s">
        <v>491</v>
      </c>
      <c r="H792" t="s">
        <v>1071</v>
      </c>
      <c r="I792" s="2">
        <v>44903.643892789303</v>
      </c>
      <c r="J792" s="2">
        <v>44971</v>
      </c>
      <c r="K792" t="s">
        <v>513</v>
      </c>
    </row>
    <row r="793" spans="1:11">
      <c r="A793">
        <v>792</v>
      </c>
      <c r="B793">
        <v>166551747</v>
      </c>
      <c r="C793" t="s">
        <v>357</v>
      </c>
      <c r="D793" t="s">
        <v>357</v>
      </c>
      <c r="E793" s="8" t="s">
        <v>431</v>
      </c>
      <c r="F793" t="s">
        <v>272</v>
      </c>
      <c r="G793" t="s">
        <v>491</v>
      </c>
      <c r="H793" t="s">
        <v>1071</v>
      </c>
      <c r="I793" s="2">
        <v>44903.647081284696</v>
      </c>
      <c r="J793" s="2">
        <v>44972</v>
      </c>
      <c r="K793" t="s">
        <v>513</v>
      </c>
    </row>
    <row r="794" spans="1:11">
      <c r="A794">
        <v>793</v>
      </c>
      <c r="B794">
        <v>166551749</v>
      </c>
      <c r="C794" t="s">
        <v>1011</v>
      </c>
      <c r="D794" t="s">
        <v>1042</v>
      </c>
      <c r="E794" s="8" t="s">
        <v>431</v>
      </c>
      <c r="F794" t="s">
        <v>272</v>
      </c>
      <c r="G794" t="s">
        <v>491</v>
      </c>
      <c r="H794" t="s">
        <v>1071</v>
      </c>
      <c r="I794" s="2">
        <v>44903.658009455998</v>
      </c>
      <c r="J794" s="2">
        <v>44973</v>
      </c>
      <c r="K794" t="s">
        <v>513</v>
      </c>
    </row>
    <row r="795" spans="1:11">
      <c r="A795">
        <v>794</v>
      </c>
      <c r="B795">
        <v>166551761</v>
      </c>
      <c r="C795" t="s">
        <v>433</v>
      </c>
      <c r="D795" t="s">
        <v>1042</v>
      </c>
      <c r="E795" s="8"/>
      <c r="F795" t="s">
        <v>272</v>
      </c>
      <c r="G795" t="s">
        <v>491</v>
      </c>
      <c r="H795" t="s">
        <v>1071</v>
      </c>
      <c r="I795" s="2">
        <v>44903.663894293997</v>
      </c>
      <c r="J795" s="2">
        <v>44975</v>
      </c>
      <c r="K795" t="s">
        <v>513</v>
      </c>
    </row>
    <row r="796" spans="1:11">
      <c r="A796">
        <v>795</v>
      </c>
      <c r="B796">
        <v>166843965</v>
      </c>
      <c r="C796" t="s">
        <v>357</v>
      </c>
      <c r="D796" t="s">
        <v>357</v>
      </c>
      <c r="E796" s="8" t="s">
        <v>431</v>
      </c>
      <c r="F796" t="s">
        <v>272</v>
      </c>
      <c r="G796" t="s">
        <v>491</v>
      </c>
      <c r="H796" t="s">
        <v>1071</v>
      </c>
      <c r="I796" s="2">
        <v>44903.668926423597</v>
      </c>
      <c r="J796" s="2">
        <v>44974</v>
      </c>
      <c r="K796" t="s">
        <v>513</v>
      </c>
    </row>
    <row r="797" spans="1:11">
      <c r="A797">
        <v>796</v>
      </c>
      <c r="B797">
        <v>166551751</v>
      </c>
      <c r="C797" t="s">
        <v>432</v>
      </c>
      <c r="D797" s="20" t="s">
        <v>1068</v>
      </c>
      <c r="E797" s="8" t="s">
        <v>431</v>
      </c>
      <c r="F797" t="s">
        <v>272</v>
      </c>
      <c r="G797" t="s">
        <v>491</v>
      </c>
      <c r="H797" t="s">
        <v>1071</v>
      </c>
      <c r="I797" s="2">
        <v>44903.672246493101</v>
      </c>
      <c r="J797" s="2">
        <v>44970</v>
      </c>
      <c r="K797" t="s">
        <v>513</v>
      </c>
    </row>
    <row r="798" spans="1:11">
      <c r="A798">
        <v>797</v>
      </c>
      <c r="B798">
        <v>166842283</v>
      </c>
      <c r="C798" t="s">
        <v>678</v>
      </c>
      <c r="D798" t="s">
        <v>678</v>
      </c>
      <c r="E798" s="8" t="s">
        <v>163</v>
      </c>
      <c r="F798" t="s">
        <v>272</v>
      </c>
      <c r="I798" s="2">
        <v>44903.685506481503</v>
      </c>
      <c r="J798" s="2">
        <v>44934</v>
      </c>
      <c r="K798" t="s">
        <v>512</v>
      </c>
    </row>
    <row r="799" spans="1:11">
      <c r="A799">
        <v>798</v>
      </c>
      <c r="B799">
        <v>166551317</v>
      </c>
      <c r="C799" t="s">
        <v>320</v>
      </c>
      <c r="D799" t="s">
        <v>320</v>
      </c>
      <c r="E799" s="8" t="s">
        <v>486</v>
      </c>
      <c r="F799" t="s">
        <v>1108</v>
      </c>
      <c r="G799" t="s">
        <v>499</v>
      </c>
      <c r="H799" t="s">
        <v>1070</v>
      </c>
      <c r="I799" s="2">
        <v>44903.719940972202</v>
      </c>
      <c r="J799" s="2">
        <v>45045</v>
      </c>
      <c r="K799" t="s">
        <v>514</v>
      </c>
    </row>
    <row r="800" spans="1:11">
      <c r="A800">
        <v>799</v>
      </c>
      <c r="B800">
        <v>166549267</v>
      </c>
      <c r="C800" t="s">
        <v>473</v>
      </c>
      <c r="D800" s="20" t="s">
        <v>1068</v>
      </c>
      <c r="E800" s="8" t="s">
        <v>470</v>
      </c>
      <c r="F800" t="s">
        <v>1108</v>
      </c>
      <c r="G800" t="s">
        <v>499</v>
      </c>
      <c r="H800" t="s">
        <v>1070</v>
      </c>
      <c r="I800" s="2">
        <v>44903.729382372701</v>
      </c>
      <c r="J800" s="2">
        <v>45023</v>
      </c>
      <c r="K800" t="s">
        <v>514</v>
      </c>
    </row>
    <row r="801" spans="1:11">
      <c r="A801">
        <v>800</v>
      </c>
      <c r="B801">
        <v>166842981</v>
      </c>
      <c r="C801" t="s">
        <v>678</v>
      </c>
      <c r="D801" t="s">
        <v>678</v>
      </c>
      <c r="E801" s="8" t="s">
        <v>751</v>
      </c>
      <c r="F801" t="s">
        <v>272</v>
      </c>
      <c r="G801" t="s">
        <v>499</v>
      </c>
      <c r="H801" t="s">
        <v>1070</v>
      </c>
      <c r="I801" s="2">
        <v>44903.732018437498</v>
      </c>
      <c r="J801" s="2">
        <v>45026</v>
      </c>
      <c r="K801" t="s">
        <v>514</v>
      </c>
    </row>
    <row r="802" spans="1:11">
      <c r="A802">
        <v>801</v>
      </c>
      <c r="B802">
        <v>166842989</v>
      </c>
      <c r="C802" t="s">
        <v>357</v>
      </c>
      <c r="D802" t="s">
        <v>357</v>
      </c>
      <c r="E802" s="8" t="s">
        <v>470</v>
      </c>
      <c r="F802" t="s">
        <v>1108</v>
      </c>
      <c r="G802" t="s">
        <v>499</v>
      </c>
      <c r="H802" t="s">
        <v>1070</v>
      </c>
      <c r="I802" s="2">
        <v>44903.733554016202</v>
      </c>
      <c r="J802" s="2">
        <v>45024</v>
      </c>
      <c r="K802" t="s">
        <v>514</v>
      </c>
    </row>
    <row r="803" spans="1:11">
      <c r="A803">
        <v>802</v>
      </c>
      <c r="B803">
        <v>166842979</v>
      </c>
      <c r="C803" t="s">
        <v>474</v>
      </c>
      <c r="D803" t="s">
        <v>401</v>
      </c>
      <c r="E803" s="8" t="s">
        <v>470</v>
      </c>
      <c r="F803" t="s">
        <v>1108</v>
      </c>
      <c r="G803" t="s">
        <v>499</v>
      </c>
      <c r="H803" t="s">
        <v>1070</v>
      </c>
      <c r="I803" s="2">
        <v>44903.734909606501</v>
      </c>
      <c r="J803" s="2">
        <v>45025</v>
      </c>
      <c r="K803" t="s">
        <v>514</v>
      </c>
    </row>
    <row r="804" spans="1:11">
      <c r="A804">
        <v>803</v>
      </c>
      <c r="B804">
        <v>168100979</v>
      </c>
      <c r="C804" t="s">
        <v>678</v>
      </c>
      <c r="D804" t="s">
        <v>678</v>
      </c>
      <c r="E804" s="8" t="s">
        <v>158</v>
      </c>
      <c r="F804" t="s">
        <v>272</v>
      </c>
      <c r="G804" t="s">
        <v>779</v>
      </c>
      <c r="H804" t="s">
        <v>1070</v>
      </c>
      <c r="I804" s="2">
        <v>44903.7939780093</v>
      </c>
      <c r="J804" s="2">
        <v>44987</v>
      </c>
      <c r="K804" t="s">
        <v>511</v>
      </c>
    </row>
    <row r="805" spans="1:11">
      <c r="A805">
        <v>804</v>
      </c>
      <c r="B805">
        <v>169596439</v>
      </c>
      <c r="C805" t="s">
        <v>320</v>
      </c>
      <c r="D805" t="s">
        <v>320</v>
      </c>
      <c r="E805" s="8" t="s">
        <v>750</v>
      </c>
      <c r="F805" t="s">
        <v>272</v>
      </c>
      <c r="I805" s="2">
        <v>44903.801814270802</v>
      </c>
      <c r="J805" s="2">
        <v>44995</v>
      </c>
      <c r="K805" t="s">
        <v>512</v>
      </c>
    </row>
    <row r="806" spans="1:11">
      <c r="A806">
        <v>805</v>
      </c>
      <c r="B806">
        <v>168101063</v>
      </c>
      <c r="C806" t="s">
        <v>320</v>
      </c>
      <c r="D806" t="s">
        <v>320</v>
      </c>
      <c r="E806" s="8" t="s">
        <v>159</v>
      </c>
      <c r="F806" t="s">
        <v>272</v>
      </c>
      <c r="I806" s="2">
        <v>44903.807651423602</v>
      </c>
      <c r="J806" s="2">
        <v>44988</v>
      </c>
      <c r="K806" t="s">
        <v>511</v>
      </c>
    </row>
    <row r="807" spans="1:11">
      <c r="A807">
        <v>806</v>
      </c>
      <c r="B807">
        <v>166552557</v>
      </c>
      <c r="C807" t="s">
        <v>1023</v>
      </c>
      <c r="D807" t="s">
        <v>363</v>
      </c>
      <c r="E807" s="8" t="s">
        <v>119</v>
      </c>
      <c r="F807" t="s">
        <v>272</v>
      </c>
      <c r="G807" t="s">
        <v>779</v>
      </c>
      <c r="H807" t="s">
        <v>1070</v>
      </c>
      <c r="I807" s="2">
        <v>44904.407775081003</v>
      </c>
      <c r="J807" s="2">
        <v>44986</v>
      </c>
      <c r="K807" t="s">
        <v>511</v>
      </c>
    </row>
    <row r="808" spans="1:11">
      <c r="A808">
        <v>807</v>
      </c>
      <c r="B808">
        <v>166552607</v>
      </c>
      <c r="C808" t="s">
        <v>1038</v>
      </c>
      <c r="D808" t="s">
        <v>363</v>
      </c>
      <c r="E808" s="8" t="s">
        <v>67</v>
      </c>
      <c r="F808" t="s">
        <v>272</v>
      </c>
      <c r="G808" t="s">
        <v>779</v>
      </c>
      <c r="H808" t="s">
        <v>1070</v>
      </c>
      <c r="I808" s="2">
        <v>44904.587193020801</v>
      </c>
      <c r="J808" s="2">
        <v>44986</v>
      </c>
      <c r="K808" t="s">
        <v>510</v>
      </c>
    </row>
    <row r="809" spans="1:11">
      <c r="A809">
        <v>808</v>
      </c>
      <c r="B809">
        <v>166552599</v>
      </c>
      <c r="C809" t="s">
        <v>357</v>
      </c>
      <c r="D809" t="s">
        <v>357</v>
      </c>
      <c r="E809" s="8" t="s">
        <v>65</v>
      </c>
      <c r="F809" t="s">
        <v>272</v>
      </c>
      <c r="G809" t="s">
        <v>779</v>
      </c>
      <c r="H809" t="s">
        <v>1070</v>
      </c>
      <c r="I809" s="2">
        <v>44904.5981602662</v>
      </c>
      <c r="J809" s="2">
        <v>44986</v>
      </c>
      <c r="K809" t="s">
        <v>510</v>
      </c>
    </row>
    <row r="810" spans="1:11">
      <c r="A810">
        <v>809</v>
      </c>
      <c r="B810">
        <v>168100292</v>
      </c>
      <c r="C810" t="s">
        <v>320</v>
      </c>
      <c r="D810" t="s">
        <v>320</v>
      </c>
      <c r="E810" s="8" t="s">
        <v>431</v>
      </c>
      <c r="F810" t="s">
        <v>272</v>
      </c>
      <c r="G810" t="s">
        <v>491</v>
      </c>
      <c r="H810" t="s">
        <v>1071</v>
      </c>
      <c r="I810" s="2">
        <v>44904.660666284697</v>
      </c>
      <c r="J810" s="2">
        <v>44987</v>
      </c>
      <c r="K810" t="s">
        <v>514</v>
      </c>
    </row>
    <row r="811" spans="1:11">
      <c r="A811">
        <v>810</v>
      </c>
      <c r="B811">
        <v>166553389</v>
      </c>
      <c r="C811" t="s">
        <v>320</v>
      </c>
      <c r="D811" t="s">
        <v>320</v>
      </c>
      <c r="E811" s="8" t="s">
        <v>69</v>
      </c>
      <c r="F811" t="s">
        <v>272</v>
      </c>
      <c r="G811" t="s">
        <v>779</v>
      </c>
      <c r="H811" t="s">
        <v>1070</v>
      </c>
      <c r="I811" s="2">
        <v>44904.729123460602</v>
      </c>
      <c r="J811" s="2">
        <v>44986</v>
      </c>
      <c r="K811" t="s">
        <v>510</v>
      </c>
    </row>
    <row r="812" spans="1:11">
      <c r="A812">
        <v>811</v>
      </c>
      <c r="B812">
        <v>166557679</v>
      </c>
      <c r="C812" t="s">
        <v>320</v>
      </c>
      <c r="D812" t="s">
        <v>320</v>
      </c>
      <c r="E812" s="8" t="s">
        <v>65</v>
      </c>
      <c r="F812" t="s">
        <v>272</v>
      </c>
      <c r="G812" t="s">
        <v>779</v>
      </c>
      <c r="H812" t="s">
        <v>1070</v>
      </c>
      <c r="I812" s="2">
        <v>44904.730623379597</v>
      </c>
      <c r="J812" s="2">
        <v>44986</v>
      </c>
      <c r="K812" t="s">
        <v>510</v>
      </c>
    </row>
    <row r="813" spans="1:11">
      <c r="A813">
        <v>812</v>
      </c>
      <c r="B813">
        <v>166553391</v>
      </c>
      <c r="C813" t="s">
        <v>357</v>
      </c>
      <c r="D813" t="s">
        <v>357</v>
      </c>
      <c r="E813" s="8" t="s">
        <v>66</v>
      </c>
      <c r="F813" t="s">
        <v>272</v>
      </c>
      <c r="G813" t="s">
        <v>779</v>
      </c>
      <c r="H813" t="s">
        <v>1070</v>
      </c>
      <c r="I813" s="2">
        <v>44904.732184525499</v>
      </c>
      <c r="J813" s="2">
        <v>44986</v>
      </c>
      <c r="K813" t="s">
        <v>510</v>
      </c>
    </row>
    <row r="814" spans="1:11">
      <c r="A814">
        <v>813</v>
      </c>
      <c r="B814">
        <v>166552577</v>
      </c>
      <c r="C814" t="s">
        <v>994</v>
      </c>
      <c r="D814" t="s">
        <v>1042</v>
      </c>
      <c r="E814" s="8" t="s">
        <v>69</v>
      </c>
      <c r="F814" t="s">
        <v>272</v>
      </c>
      <c r="G814" t="s">
        <v>779</v>
      </c>
      <c r="H814" t="s">
        <v>1070</v>
      </c>
      <c r="I814" s="2">
        <v>44904.733145335602</v>
      </c>
      <c r="J814" s="2">
        <v>44986</v>
      </c>
      <c r="K814" t="s">
        <v>510</v>
      </c>
    </row>
    <row r="815" spans="1:11">
      <c r="A815">
        <v>814</v>
      </c>
      <c r="B815">
        <v>166552571</v>
      </c>
      <c r="C815" t="s">
        <v>1039</v>
      </c>
      <c r="D815" t="s">
        <v>363</v>
      </c>
      <c r="E815" s="8" t="s">
        <v>68</v>
      </c>
      <c r="F815" t="s">
        <v>274</v>
      </c>
      <c r="G815" t="s">
        <v>779</v>
      </c>
      <c r="H815" t="s">
        <v>1070</v>
      </c>
      <c r="I815" s="2">
        <v>44904.734917326401</v>
      </c>
      <c r="J815" s="2">
        <v>44986</v>
      </c>
      <c r="K815" t="s">
        <v>510</v>
      </c>
    </row>
    <row r="816" spans="1:11">
      <c r="A816">
        <v>815</v>
      </c>
      <c r="B816">
        <v>143039620</v>
      </c>
      <c r="C816" t="s">
        <v>320</v>
      </c>
      <c r="D816" t="s">
        <v>320</v>
      </c>
      <c r="E816" s="8" t="s">
        <v>201</v>
      </c>
      <c r="F816" t="s">
        <v>272</v>
      </c>
      <c r="G816" t="s">
        <v>504</v>
      </c>
      <c r="H816" t="s">
        <v>1070</v>
      </c>
      <c r="I816" s="2">
        <v>44904.786933483803</v>
      </c>
      <c r="J816" s="2">
        <v>44986</v>
      </c>
      <c r="K816" t="s">
        <v>512</v>
      </c>
    </row>
    <row r="817" spans="1:11">
      <c r="A817">
        <v>816</v>
      </c>
      <c r="B817">
        <v>170997232</v>
      </c>
      <c r="C817" t="s">
        <v>678</v>
      </c>
      <c r="D817" t="s">
        <v>678</v>
      </c>
      <c r="E817" s="8" t="s">
        <v>201</v>
      </c>
      <c r="F817" t="s">
        <v>272</v>
      </c>
      <c r="G817" t="s">
        <v>504</v>
      </c>
      <c r="H817" t="s">
        <v>1070</v>
      </c>
      <c r="I817" s="2">
        <v>44904.789816550903</v>
      </c>
      <c r="J817" s="2">
        <v>44986</v>
      </c>
      <c r="K817" t="s">
        <v>512</v>
      </c>
    </row>
    <row r="818" spans="1:11">
      <c r="A818">
        <v>817</v>
      </c>
      <c r="B818">
        <v>171635518</v>
      </c>
      <c r="C818" t="s">
        <v>320</v>
      </c>
      <c r="D818" t="s">
        <v>320</v>
      </c>
      <c r="E818" s="8" t="s">
        <v>49</v>
      </c>
      <c r="F818" t="s">
        <v>274</v>
      </c>
      <c r="G818" t="s">
        <v>779</v>
      </c>
      <c r="H818" t="s">
        <v>1070</v>
      </c>
      <c r="I818" s="2">
        <v>44904.8284229977</v>
      </c>
      <c r="J818" s="2">
        <v>44986</v>
      </c>
      <c r="K818" t="s">
        <v>510</v>
      </c>
    </row>
    <row r="819" spans="1:11">
      <c r="A819">
        <v>818</v>
      </c>
      <c r="B819">
        <v>166551791</v>
      </c>
      <c r="D819" t="s">
        <v>1108</v>
      </c>
      <c r="E819" s="8" t="s">
        <v>470</v>
      </c>
      <c r="F819" t="s">
        <v>1108</v>
      </c>
      <c r="G819" t="s">
        <v>499</v>
      </c>
      <c r="H819" t="s">
        <v>1070</v>
      </c>
      <c r="I819" s="2">
        <v>44904.834598113397</v>
      </c>
      <c r="J819" s="2">
        <v>45015</v>
      </c>
      <c r="K819" t="s">
        <v>514</v>
      </c>
    </row>
    <row r="820" spans="1:11">
      <c r="A820">
        <v>819</v>
      </c>
      <c r="B820">
        <v>166841413</v>
      </c>
      <c r="C820" t="s">
        <v>298</v>
      </c>
      <c r="D820" t="s">
        <v>1042</v>
      </c>
      <c r="E820" s="8" t="s">
        <v>36</v>
      </c>
      <c r="F820" t="s">
        <v>1108</v>
      </c>
      <c r="G820" t="s">
        <v>779</v>
      </c>
      <c r="H820" t="s">
        <v>1070</v>
      </c>
      <c r="I820" s="2">
        <v>44904.862952511598</v>
      </c>
      <c r="J820" s="2">
        <v>44986</v>
      </c>
      <c r="K820" t="s">
        <v>509</v>
      </c>
    </row>
    <row r="821" spans="1:11">
      <c r="A821">
        <v>820</v>
      </c>
      <c r="B821">
        <v>166552575</v>
      </c>
      <c r="C821" t="s">
        <v>323</v>
      </c>
      <c r="D821" s="20" t="s">
        <v>1068</v>
      </c>
      <c r="E821" s="8" t="s">
        <v>88</v>
      </c>
      <c r="F821" t="s">
        <v>279</v>
      </c>
      <c r="G821" t="s">
        <v>779</v>
      </c>
      <c r="H821" t="s">
        <v>1070</v>
      </c>
      <c r="I821" s="2">
        <v>44904.981887499998</v>
      </c>
      <c r="J821" s="2">
        <v>44986</v>
      </c>
      <c r="K821" t="s">
        <v>510</v>
      </c>
    </row>
    <row r="822" spans="1:11">
      <c r="A822">
        <v>821</v>
      </c>
      <c r="B822">
        <v>166552669</v>
      </c>
      <c r="C822" t="s">
        <v>357</v>
      </c>
      <c r="D822" t="s">
        <v>357</v>
      </c>
      <c r="E822" s="8" t="s">
        <v>88</v>
      </c>
      <c r="F822" t="s">
        <v>279</v>
      </c>
      <c r="G822" t="s">
        <v>779</v>
      </c>
      <c r="H822" t="s">
        <v>1070</v>
      </c>
      <c r="I822" s="2">
        <v>44904.981887499998</v>
      </c>
      <c r="J822" s="2">
        <v>44986</v>
      </c>
      <c r="K822" t="s">
        <v>510</v>
      </c>
    </row>
    <row r="823" spans="1:11">
      <c r="A823">
        <v>822</v>
      </c>
      <c r="B823">
        <v>166843617</v>
      </c>
      <c r="C823" t="s">
        <v>357</v>
      </c>
      <c r="D823" t="s">
        <v>357</v>
      </c>
      <c r="E823" s="8" t="s">
        <v>424</v>
      </c>
      <c r="F823" t="s">
        <v>272</v>
      </c>
      <c r="G823" t="s">
        <v>491</v>
      </c>
      <c r="H823" t="s">
        <v>1071</v>
      </c>
      <c r="I823" s="2">
        <v>44905.026200497698</v>
      </c>
      <c r="J823" s="2">
        <v>44947</v>
      </c>
      <c r="K823" t="s">
        <v>512</v>
      </c>
    </row>
    <row r="824" spans="1:11">
      <c r="A824">
        <v>823</v>
      </c>
      <c r="B824">
        <v>168101057</v>
      </c>
      <c r="C824" t="s">
        <v>357</v>
      </c>
      <c r="D824" t="s">
        <v>357</v>
      </c>
      <c r="E824" s="8" t="s">
        <v>752</v>
      </c>
      <c r="F824" t="s">
        <v>272</v>
      </c>
      <c r="G824" t="s">
        <v>779</v>
      </c>
      <c r="H824" t="s">
        <v>1070</v>
      </c>
      <c r="I824" s="2">
        <v>44905.736033530098</v>
      </c>
      <c r="J824" s="2">
        <v>44986</v>
      </c>
      <c r="K824" t="s">
        <v>511</v>
      </c>
    </row>
    <row r="825" spans="1:11">
      <c r="A825">
        <v>824</v>
      </c>
      <c r="B825">
        <v>166551785</v>
      </c>
      <c r="C825" t="s">
        <v>678</v>
      </c>
      <c r="D825" t="s">
        <v>678</v>
      </c>
      <c r="E825" s="8" t="s">
        <v>490</v>
      </c>
      <c r="F825" t="s">
        <v>272</v>
      </c>
      <c r="G825" t="s">
        <v>499</v>
      </c>
      <c r="H825" t="s">
        <v>1070</v>
      </c>
      <c r="I825" s="2">
        <v>44907.031808368098</v>
      </c>
      <c r="J825" s="2">
        <v>45013</v>
      </c>
      <c r="K825" t="s">
        <v>514</v>
      </c>
    </row>
    <row r="826" spans="1:11">
      <c r="A826">
        <v>825</v>
      </c>
      <c r="B826">
        <v>166552691</v>
      </c>
      <c r="C826" t="s">
        <v>320</v>
      </c>
      <c r="D826" t="s">
        <v>320</v>
      </c>
      <c r="E826" s="8" t="s">
        <v>98</v>
      </c>
      <c r="F826" t="s">
        <v>1108</v>
      </c>
      <c r="G826" t="s">
        <v>779</v>
      </c>
      <c r="H826" t="s">
        <v>1070</v>
      </c>
      <c r="I826" s="2">
        <v>44907.042956331003</v>
      </c>
      <c r="J826" s="2">
        <v>44986</v>
      </c>
      <c r="K826" t="s">
        <v>511</v>
      </c>
    </row>
    <row r="827" spans="1:11">
      <c r="A827">
        <v>826</v>
      </c>
      <c r="B827">
        <v>166842335</v>
      </c>
      <c r="C827" t="s">
        <v>295</v>
      </c>
      <c r="D827" s="20" t="s">
        <v>1068</v>
      </c>
      <c r="E827" s="8" t="s">
        <v>166</v>
      </c>
      <c r="F827" t="s">
        <v>272</v>
      </c>
      <c r="G827" t="s">
        <v>779</v>
      </c>
      <c r="H827" t="s">
        <v>1070</v>
      </c>
      <c r="I827" s="2">
        <v>44907.420591747701</v>
      </c>
      <c r="J827" s="2">
        <v>44945</v>
      </c>
      <c r="K827" t="s">
        <v>512</v>
      </c>
    </row>
    <row r="828" spans="1:11">
      <c r="A828">
        <v>827</v>
      </c>
      <c r="B828">
        <v>166551433</v>
      </c>
      <c r="C828" t="s">
        <v>306</v>
      </c>
      <c r="D828" t="s">
        <v>306</v>
      </c>
      <c r="E828" s="8" t="s">
        <v>125</v>
      </c>
      <c r="F828" t="s">
        <v>274</v>
      </c>
      <c r="G828" t="s">
        <v>779</v>
      </c>
      <c r="H828" t="s">
        <v>1070</v>
      </c>
      <c r="I828" s="2">
        <v>44907.432666898101</v>
      </c>
      <c r="J828" s="2">
        <v>44913</v>
      </c>
      <c r="K828" t="s">
        <v>511</v>
      </c>
    </row>
    <row r="829" spans="1:11">
      <c r="A829">
        <v>828</v>
      </c>
      <c r="B829">
        <v>166841425</v>
      </c>
      <c r="C829" t="s">
        <v>300</v>
      </c>
      <c r="D829" t="s">
        <v>1042</v>
      </c>
      <c r="E829" s="8" t="s">
        <v>37</v>
      </c>
      <c r="F829" t="s">
        <v>272</v>
      </c>
      <c r="G829" t="s">
        <v>779</v>
      </c>
      <c r="H829" t="s">
        <v>1070</v>
      </c>
      <c r="I829" s="2">
        <v>44907.526144178199</v>
      </c>
      <c r="J829" s="2">
        <v>44986</v>
      </c>
      <c r="K829" t="s">
        <v>509</v>
      </c>
    </row>
    <row r="830" spans="1:11">
      <c r="A830">
        <v>829</v>
      </c>
      <c r="B830">
        <v>166841421</v>
      </c>
      <c r="C830" t="s">
        <v>300</v>
      </c>
      <c r="D830" t="s">
        <v>1042</v>
      </c>
      <c r="E830" s="8" t="s">
        <v>37</v>
      </c>
      <c r="F830" t="s">
        <v>272</v>
      </c>
      <c r="G830" t="s">
        <v>779</v>
      </c>
      <c r="H830" t="s">
        <v>1070</v>
      </c>
      <c r="I830" s="2">
        <v>44907.554907256897</v>
      </c>
      <c r="J830" s="2">
        <v>45002</v>
      </c>
      <c r="K830" t="s">
        <v>509</v>
      </c>
    </row>
    <row r="831" spans="1:11">
      <c r="A831">
        <v>830</v>
      </c>
      <c r="B831">
        <v>166841411</v>
      </c>
      <c r="C831" t="s">
        <v>299</v>
      </c>
      <c r="D831" t="s">
        <v>401</v>
      </c>
      <c r="E831" s="8" t="s">
        <v>37</v>
      </c>
      <c r="F831" t="s">
        <v>272</v>
      </c>
      <c r="G831" t="s">
        <v>779</v>
      </c>
      <c r="H831" t="s">
        <v>1070</v>
      </c>
      <c r="I831" s="2">
        <v>44907.561132488401</v>
      </c>
      <c r="J831" s="2">
        <v>45010</v>
      </c>
      <c r="K831" t="s">
        <v>509</v>
      </c>
    </row>
    <row r="832" spans="1:11">
      <c r="A832">
        <v>831</v>
      </c>
      <c r="B832">
        <v>166841431</v>
      </c>
      <c r="C832" t="s">
        <v>357</v>
      </c>
      <c r="D832" t="s">
        <v>357</v>
      </c>
      <c r="E832" s="8" t="s">
        <v>37</v>
      </c>
      <c r="F832" t="s">
        <v>272</v>
      </c>
      <c r="G832" t="s">
        <v>779</v>
      </c>
      <c r="H832" t="s">
        <v>1070</v>
      </c>
      <c r="I832" s="2">
        <v>44907.5645596412</v>
      </c>
      <c r="J832" s="2">
        <v>44986</v>
      </c>
      <c r="K832" t="s">
        <v>509</v>
      </c>
    </row>
    <row r="833" spans="1:11">
      <c r="A833">
        <v>832</v>
      </c>
      <c r="B833">
        <v>166841419</v>
      </c>
      <c r="C833" t="s">
        <v>320</v>
      </c>
      <c r="D833" t="s">
        <v>320</v>
      </c>
      <c r="E833" s="8" t="s">
        <v>36</v>
      </c>
      <c r="F833" t="s">
        <v>1108</v>
      </c>
      <c r="G833" t="s">
        <v>779</v>
      </c>
      <c r="H833" t="s">
        <v>1070</v>
      </c>
      <c r="I833" s="2">
        <v>44907.5659246875</v>
      </c>
      <c r="J833" s="2">
        <v>44986</v>
      </c>
      <c r="K833" t="s">
        <v>509</v>
      </c>
    </row>
    <row r="834" spans="1:11">
      <c r="A834">
        <v>833</v>
      </c>
      <c r="B834">
        <v>166551793</v>
      </c>
      <c r="C834" t="s">
        <v>357</v>
      </c>
      <c r="D834" t="s">
        <v>357</v>
      </c>
      <c r="E834" s="8" t="s">
        <v>470</v>
      </c>
      <c r="F834" t="s">
        <v>1108</v>
      </c>
      <c r="G834" t="s">
        <v>499</v>
      </c>
      <c r="H834" t="s">
        <v>1070</v>
      </c>
      <c r="I834" s="2">
        <v>44907.614707060202</v>
      </c>
      <c r="J834" s="2">
        <v>45016</v>
      </c>
      <c r="K834" t="s">
        <v>514</v>
      </c>
    </row>
    <row r="835" spans="1:11">
      <c r="A835">
        <v>834</v>
      </c>
      <c r="B835">
        <v>166549269</v>
      </c>
      <c r="C835" t="s">
        <v>471</v>
      </c>
      <c r="D835" s="20" t="s">
        <v>1068</v>
      </c>
      <c r="E835" s="8" t="s">
        <v>470</v>
      </c>
      <c r="F835" t="s">
        <v>1108</v>
      </c>
      <c r="G835" t="s">
        <v>499</v>
      </c>
      <c r="H835" t="s">
        <v>1070</v>
      </c>
      <c r="I835" s="2">
        <v>44907.620209571804</v>
      </c>
      <c r="J835" s="2">
        <v>45021</v>
      </c>
      <c r="K835" t="s">
        <v>514</v>
      </c>
    </row>
    <row r="836" spans="1:11">
      <c r="A836">
        <v>835</v>
      </c>
      <c r="B836">
        <v>168100949</v>
      </c>
      <c r="C836" t="s">
        <v>1035</v>
      </c>
      <c r="D836" t="s">
        <v>363</v>
      </c>
      <c r="E836" s="8" t="s">
        <v>132</v>
      </c>
      <c r="F836" t="s">
        <v>1108</v>
      </c>
      <c r="G836" t="s">
        <v>779</v>
      </c>
      <c r="H836" t="s">
        <v>1070</v>
      </c>
      <c r="I836" s="2">
        <v>44907.633905127303</v>
      </c>
      <c r="J836" s="2">
        <v>44930</v>
      </c>
      <c r="K836" t="s">
        <v>511</v>
      </c>
    </row>
    <row r="837" spans="1:11">
      <c r="A837">
        <v>836</v>
      </c>
      <c r="B837">
        <v>166841741</v>
      </c>
      <c r="C837" t="s">
        <v>320</v>
      </c>
      <c r="D837" t="s">
        <v>320</v>
      </c>
      <c r="E837" s="8" t="s">
        <v>101</v>
      </c>
      <c r="F837" t="s">
        <v>272</v>
      </c>
      <c r="G837" t="s">
        <v>779</v>
      </c>
      <c r="H837" t="s">
        <v>1070</v>
      </c>
      <c r="I837" s="2">
        <v>44907.733859722197</v>
      </c>
      <c r="J837" s="2">
        <v>44986</v>
      </c>
      <c r="K837" t="s">
        <v>511</v>
      </c>
    </row>
    <row r="838" spans="1:11">
      <c r="A838">
        <v>837</v>
      </c>
      <c r="B838">
        <v>166843383</v>
      </c>
      <c r="D838" t="s">
        <v>1108</v>
      </c>
      <c r="E838" s="8" t="s">
        <v>188</v>
      </c>
      <c r="F838" t="s">
        <v>279</v>
      </c>
      <c r="I838" s="2">
        <v>44907.740011307898</v>
      </c>
      <c r="J838" s="2">
        <v>44986</v>
      </c>
      <c r="K838" t="s">
        <v>512</v>
      </c>
    </row>
    <row r="839" spans="1:11">
      <c r="A839">
        <v>838</v>
      </c>
      <c r="B839">
        <v>166843585</v>
      </c>
      <c r="D839" t="s">
        <v>1108</v>
      </c>
      <c r="E839" s="8" t="s">
        <v>185</v>
      </c>
      <c r="F839" t="s">
        <v>279</v>
      </c>
      <c r="G839" t="s">
        <v>504</v>
      </c>
      <c r="H839" t="s">
        <v>1070</v>
      </c>
      <c r="I839" s="2">
        <v>44907.741147337998</v>
      </c>
      <c r="J839" s="2">
        <v>44986</v>
      </c>
      <c r="K839" t="s">
        <v>512</v>
      </c>
    </row>
    <row r="840" spans="1:11">
      <c r="A840">
        <v>839</v>
      </c>
      <c r="B840">
        <v>166841735</v>
      </c>
      <c r="C840" t="s">
        <v>1040</v>
      </c>
      <c r="D840" t="s">
        <v>363</v>
      </c>
      <c r="E840" s="8" t="s">
        <v>101</v>
      </c>
      <c r="F840" t="s">
        <v>272</v>
      </c>
      <c r="G840" t="s">
        <v>779</v>
      </c>
      <c r="H840" t="s">
        <v>1070</v>
      </c>
      <c r="I840" s="2">
        <v>44907.741975844903</v>
      </c>
      <c r="J840" s="2">
        <v>44986</v>
      </c>
      <c r="K840" t="s">
        <v>511</v>
      </c>
    </row>
    <row r="841" spans="1:11">
      <c r="A841">
        <v>840</v>
      </c>
      <c r="B841">
        <v>166843591</v>
      </c>
      <c r="C841" t="s">
        <v>320</v>
      </c>
      <c r="D841" t="s">
        <v>320</v>
      </c>
      <c r="E841" s="8" t="s">
        <v>184</v>
      </c>
      <c r="F841" t="s">
        <v>272</v>
      </c>
      <c r="G841" t="s">
        <v>504</v>
      </c>
      <c r="H841" t="s">
        <v>1070</v>
      </c>
      <c r="I841" s="2">
        <v>44907.742007291701</v>
      </c>
      <c r="J841" s="2">
        <v>44986</v>
      </c>
      <c r="K841" t="s">
        <v>512</v>
      </c>
    </row>
    <row r="842" spans="1:11">
      <c r="A842">
        <v>841</v>
      </c>
      <c r="B842">
        <v>166843587</v>
      </c>
      <c r="D842" t="s">
        <v>1108</v>
      </c>
      <c r="E842" s="8" t="s">
        <v>186</v>
      </c>
      <c r="F842" t="s">
        <v>1108</v>
      </c>
      <c r="G842" t="s">
        <v>504</v>
      </c>
      <c r="H842" t="s">
        <v>1070</v>
      </c>
      <c r="I842" s="2">
        <v>44907.742437766203</v>
      </c>
      <c r="J842" s="2">
        <v>44986</v>
      </c>
      <c r="K842" t="s">
        <v>512</v>
      </c>
    </row>
    <row r="843" spans="1:11">
      <c r="A843">
        <v>842</v>
      </c>
      <c r="B843">
        <v>169597357</v>
      </c>
      <c r="C843" t="s">
        <v>950</v>
      </c>
      <c r="D843" t="s">
        <v>1042</v>
      </c>
      <c r="E843" s="8" t="s">
        <v>773</v>
      </c>
      <c r="F843" t="s">
        <v>272</v>
      </c>
      <c r="G843" t="s">
        <v>491</v>
      </c>
      <c r="H843" t="s">
        <v>1071</v>
      </c>
      <c r="I843" s="2">
        <v>44907.751660995396</v>
      </c>
      <c r="J843" s="2">
        <v>44923</v>
      </c>
      <c r="K843" t="s">
        <v>512</v>
      </c>
    </row>
    <row r="844" spans="1:11">
      <c r="A844">
        <v>843</v>
      </c>
      <c r="B844">
        <v>168100862</v>
      </c>
      <c r="C844" t="s">
        <v>357</v>
      </c>
      <c r="D844" t="s">
        <v>357</v>
      </c>
      <c r="E844" s="8" t="s">
        <v>431</v>
      </c>
      <c r="F844" t="s">
        <v>272</v>
      </c>
      <c r="G844" t="s">
        <v>491</v>
      </c>
      <c r="H844" t="s">
        <v>1071</v>
      </c>
      <c r="I844" s="2">
        <v>44907.762991169002</v>
      </c>
      <c r="J844" s="2">
        <v>44994</v>
      </c>
      <c r="K844" t="s">
        <v>514</v>
      </c>
    </row>
    <row r="845" spans="1:11">
      <c r="A845">
        <v>844</v>
      </c>
      <c r="B845">
        <v>166551765</v>
      </c>
      <c r="C845" t="s">
        <v>1012</v>
      </c>
      <c r="D845" t="s">
        <v>1042</v>
      </c>
      <c r="E845" s="8" t="s">
        <v>431</v>
      </c>
      <c r="F845" t="s">
        <v>272</v>
      </c>
      <c r="G845" t="s">
        <v>491</v>
      </c>
      <c r="H845" t="s">
        <v>1071</v>
      </c>
      <c r="I845" s="2">
        <v>44907.763870451403</v>
      </c>
      <c r="J845" s="2">
        <v>44993</v>
      </c>
      <c r="K845" t="s">
        <v>514</v>
      </c>
    </row>
    <row r="846" spans="1:11">
      <c r="A846">
        <v>845</v>
      </c>
      <c r="B846">
        <v>166841733</v>
      </c>
      <c r="C846" t="s">
        <v>678</v>
      </c>
      <c r="D846" t="s">
        <v>678</v>
      </c>
      <c r="E846" s="8" t="s">
        <v>101</v>
      </c>
      <c r="F846" t="s">
        <v>272</v>
      </c>
      <c r="G846" t="s">
        <v>779</v>
      </c>
      <c r="H846" t="s">
        <v>1070</v>
      </c>
      <c r="I846" s="2">
        <v>44907.765618252299</v>
      </c>
      <c r="J846" s="2">
        <v>44986</v>
      </c>
      <c r="K846" t="s">
        <v>511</v>
      </c>
    </row>
    <row r="847" spans="1:11">
      <c r="A847">
        <v>846</v>
      </c>
      <c r="B847">
        <v>143031422</v>
      </c>
      <c r="D847" t="s">
        <v>1108</v>
      </c>
      <c r="E847" s="8" t="s">
        <v>186</v>
      </c>
      <c r="F847" t="s">
        <v>1108</v>
      </c>
      <c r="G847" t="s">
        <v>504</v>
      </c>
      <c r="H847" t="s">
        <v>1070</v>
      </c>
      <c r="I847" s="2">
        <v>44907.7899386227</v>
      </c>
      <c r="J847" s="2">
        <v>44986</v>
      </c>
      <c r="K847" t="s">
        <v>512</v>
      </c>
    </row>
    <row r="848" spans="1:11">
      <c r="A848">
        <v>847</v>
      </c>
      <c r="B848">
        <v>157993030</v>
      </c>
      <c r="C848" t="s">
        <v>678</v>
      </c>
      <c r="D848" t="s">
        <v>678</v>
      </c>
      <c r="E848" s="8" t="s">
        <v>115</v>
      </c>
      <c r="F848" t="s">
        <v>272</v>
      </c>
      <c r="G848" t="s">
        <v>779</v>
      </c>
      <c r="H848" t="s">
        <v>1070</v>
      </c>
      <c r="I848" s="2">
        <v>44907.837219560199</v>
      </c>
      <c r="J848" s="2">
        <v>44986</v>
      </c>
      <c r="K848" t="s">
        <v>511</v>
      </c>
    </row>
    <row r="849" spans="1:11">
      <c r="A849">
        <v>848</v>
      </c>
      <c r="B849">
        <v>143028394</v>
      </c>
      <c r="C849" t="s">
        <v>373</v>
      </c>
      <c r="D849" t="s">
        <v>363</v>
      </c>
      <c r="E849" s="8" t="s">
        <v>437</v>
      </c>
      <c r="F849" t="s">
        <v>276</v>
      </c>
      <c r="G849" t="s">
        <v>491</v>
      </c>
      <c r="H849" t="s">
        <v>1071</v>
      </c>
      <c r="I849" s="2">
        <v>44907.937425266202</v>
      </c>
      <c r="J849" s="2">
        <v>44996</v>
      </c>
      <c r="K849" t="s">
        <v>514</v>
      </c>
    </row>
    <row r="850" spans="1:11">
      <c r="A850">
        <v>849</v>
      </c>
      <c r="B850">
        <v>169597129</v>
      </c>
      <c r="C850" t="s">
        <v>678</v>
      </c>
      <c r="D850" t="s">
        <v>678</v>
      </c>
      <c r="E850" s="8" t="s">
        <v>772</v>
      </c>
      <c r="F850" t="s">
        <v>272</v>
      </c>
      <c r="G850" t="s">
        <v>491</v>
      </c>
      <c r="H850" t="s">
        <v>1071</v>
      </c>
      <c r="I850" s="2">
        <v>44907.983378321798</v>
      </c>
      <c r="J850" s="2">
        <v>44922</v>
      </c>
      <c r="K850" t="s">
        <v>512</v>
      </c>
    </row>
    <row r="851" spans="1:11">
      <c r="A851">
        <v>850</v>
      </c>
      <c r="B851">
        <v>169596475</v>
      </c>
      <c r="C851" t="s">
        <v>320</v>
      </c>
      <c r="D851" t="s">
        <v>320</v>
      </c>
      <c r="E851" s="8" t="s">
        <v>144</v>
      </c>
      <c r="F851" t="s">
        <v>273</v>
      </c>
      <c r="G851" t="s">
        <v>779</v>
      </c>
      <c r="H851" t="s">
        <v>1070</v>
      </c>
      <c r="I851" s="2">
        <v>44908.190137963</v>
      </c>
      <c r="J851" s="2">
        <v>44959</v>
      </c>
      <c r="K851" t="s">
        <v>511</v>
      </c>
    </row>
    <row r="852" spans="1:11">
      <c r="A852">
        <v>851</v>
      </c>
      <c r="B852">
        <v>166553419</v>
      </c>
      <c r="C852" t="s">
        <v>678</v>
      </c>
      <c r="D852" t="s">
        <v>678</v>
      </c>
      <c r="E852" s="8" t="s">
        <v>146</v>
      </c>
      <c r="F852" t="s">
        <v>1108</v>
      </c>
      <c r="G852" t="s">
        <v>779</v>
      </c>
      <c r="H852" t="s">
        <v>1070</v>
      </c>
      <c r="I852" s="2">
        <v>44908.193134872701</v>
      </c>
      <c r="J852" s="2">
        <v>44962</v>
      </c>
      <c r="K852" t="s">
        <v>511</v>
      </c>
    </row>
    <row r="853" spans="1:11">
      <c r="A853">
        <v>852</v>
      </c>
      <c r="B853">
        <v>166553427</v>
      </c>
      <c r="C853" t="s">
        <v>320</v>
      </c>
      <c r="D853" t="s">
        <v>320</v>
      </c>
      <c r="E853" s="8" t="s">
        <v>144</v>
      </c>
      <c r="F853" t="s">
        <v>273</v>
      </c>
      <c r="G853" t="s">
        <v>779</v>
      </c>
      <c r="H853" t="s">
        <v>1070</v>
      </c>
      <c r="I853" s="2">
        <v>44908.198130555596</v>
      </c>
      <c r="J853" s="2">
        <v>44960</v>
      </c>
      <c r="K853" t="s">
        <v>511</v>
      </c>
    </row>
    <row r="854" spans="1:11">
      <c r="A854">
        <v>853</v>
      </c>
      <c r="B854">
        <v>169596466</v>
      </c>
      <c r="C854" t="s">
        <v>354</v>
      </c>
      <c r="D854" t="s">
        <v>363</v>
      </c>
      <c r="E854" s="8" t="s">
        <v>144</v>
      </c>
      <c r="F854" t="s">
        <v>273</v>
      </c>
      <c r="G854" t="s">
        <v>779</v>
      </c>
      <c r="H854" t="s">
        <v>1070</v>
      </c>
      <c r="I854" s="2">
        <v>44908.205160416699</v>
      </c>
      <c r="J854" s="2">
        <v>44958</v>
      </c>
      <c r="K854" t="s">
        <v>511</v>
      </c>
    </row>
    <row r="855" spans="1:11">
      <c r="A855">
        <v>854</v>
      </c>
      <c r="B855">
        <v>169596463</v>
      </c>
      <c r="C855" t="s">
        <v>357</v>
      </c>
      <c r="D855" t="s">
        <v>357</v>
      </c>
      <c r="E855" s="8" t="s">
        <v>143</v>
      </c>
      <c r="F855" t="s">
        <v>272</v>
      </c>
      <c r="G855" t="s">
        <v>779</v>
      </c>
      <c r="H855" t="s">
        <v>1070</v>
      </c>
      <c r="I855" s="2">
        <v>44908.206790775497</v>
      </c>
      <c r="J855" s="2">
        <v>44956</v>
      </c>
      <c r="K855" t="s">
        <v>511</v>
      </c>
    </row>
    <row r="856" spans="1:11">
      <c r="A856">
        <v>855</v>
      </c>
      <c r="B856">
        <v>166553429</v>
      </c>
      <c r="C856" t="s">
        <v>320</v>
      </c>
      <c r="D856" t="s">
        <v>320</v>
      </c>
      <c r="E856" s="8" t="s">
        <v>145</v>
      </c>
      <c r="F856" t="s">
        <v>274</v>
      </c>
      <c r="G856" t="s">
        <v>779</v>
      </c>
      <c r="H856" t="s">
        <v>1070</v>
      </c>
      <c r="I856" s="2">
        <v>44908.2125985764</v>
      </c>
      <c r="J856" s="2">
        <v>44961</v>
      </c>
      <c r="K856" t="s">
        <v>511</v>
      </c>
    </row>
    <row r="857" spans="1:11">
      <c r="A857">
        <v>856</v>
      </c>
      <c r="B857">
        <v>169596460</v>
      </c>
      <c r="C857" t="s">
        <v>320</v>
      </c>
      <c r="D857" t="s">
        <v>320</v>
      </c>
      <c r="E857" s="8" t="s">
        <v>143</v>
      </c>
      <c r="F857" t="s">
        <v>272</v>
      </c>
      <c r="G857" t="s">
        <v>779</v>
      </c>
      <c r="H857" t="s">
        <v>1070</v>
      </c>
      <c r="I857" s="2">
        <v>44908.215096145803</v>
      </c>
      <c r="J857" s="2">
        <v>44955</v>
      </c>
      <c r="K857" t="s">
        <v>511</v>
      </c>
    </row>
    <row r="858" spans="1:11">
      <c r="A858">
        <v>857</v>
      </c>
      <c r="B858">
        <v>166551459</v>
      </c>
      <c r="C858" t="s">
        <v>353</v>
      </c>
      <c r="D858" t="s">
        <v>363</v>
      </c>
      <c r="E858" s="8" t="s">
        <v>144</v>
      </c>
      <c r="F858" t="s">
        <v>273</v>
      </c>
      <c r="G858" t="s">
        <v>779</v>
      </c>
      <c r="H858" t="s">
        <v>1070</v>
      </c>
      <c r="I858" s="2">
        <v>44908.220980289298</v>
      </c>
      <c r="J858" s="2">
        <v>44957</v>
      </c>
      <c r="K858" t="s">
        <v>511</v>
      </c>
    </row>
    <row r="859" spans="1:11">
      <c r="A859">
        <v>858</v>
      </c>
      <c r="B859">
        <v>166551783</v>
      </c>
      <c r="C859" t="s">
        <v>357</v>
      </c>
      <c r="D859" t="s">
        <v>357</v>
      </c>
      <c r="E859" s="8" t="s">
        <v>470</v>
      </c>
      <c r="F859" t="s">
        <v>1108</v>
      </c>
      <c r="G859" t="s">
        <v>499</v>
      </c>
      <c r="H859" t="s">
        <v>1070</v>
      </c>
      <c r="I859" s="2">
        <v>44908.375182060197</v>
      </c>
      <c r="J859" s="2">
        <v>45017</v>
      </c>
      <c r="K859" t="s">
        <v>514</v>
      </c>
    </row>
    <row r="860" spans="1:11">
      <c r="A860">
        <v>859</v>
      </c>
      <c r="B860">
        <v>168100868</v>
      </c>
      <c r="C860" t="s">
        <v>357</v>
      </c>
      <c r="D860" t="s">
        <v>357</v>
      </c>
      <c r="E860" s="8" t="s">
        <v>431</v>
      </c>
      <c r="F860" t="s">
        <v>272</v>
      </c>
      <c r="G860" t="s">
        <v>491</v>
      </c>
      <c r="H860" t="s">
        <v>1071</v>
      </c>
      <c r="I860" s="2">
        <v>44908.564509178199</v>
      </c>
      <c r="J860" s="2">
        <v>44991</v>
      </c>
      <c r="K860" t="s">
        <v>514</v>
      </c>
    </row>
    <row r="861" spans="1:11">
      <c r="A861">
        <v>860</v>
      </c>
      <c r="B861">
        <v>166551743</v>
      </c>
      <c r="C861" t="s">
        <v>320</v>
      </c>
      <c r="D861" t="s">
        <v>320</v>
      </c>
      <c r="E861" s="8" t="s">
        <v>431</v>
      </c>
      <c r="F861" t="s">
        <v>272</v>
      </c>
      <c r="G861" t="s">
        <v>491</v>
      </c>
      <c r="H861" t="s">
        <v>1071</v>
      </c>
      <c r="I861" s="2">
        <v>44908.578343634297</v>
      </c>
      <c r="J861" s="2">
        <v>44990</v>
      </c>
      <c r="K861" t="s">
        <v>514</v>
      </c>
    </row>
    <row r="862" spans="1:11">
      <c r="A862">
        <v>861</v>
      </c>
      <c r="B862">
        <v>166842971</v>
      </c>
      <c r="C862" t="s">
        <v>678</v>
      </c>
      <c r="D862" t="s">
        <v>678</v>
      </c>
      <c r="E862" s="8" t="s">
        <v>470</v>
      </c>
      <c r="F862" t="s">
        <v>1108</v>
      </c>
      <c r="G862" t="s">
        <v>499</v>
      </c>
      <c r="H862" t="s">
        <v>1070</v>
      </c>
      <c r="I862" s="2">
        <v>44908.584855474503</v>
      </c>
      <c r="J862" s="2">
        <v>45018</v>
      </c>
      <c r="K862" t="s">
        <v>514</v>
      </c>
    </row>
    <row r="863" spans="1:11">
      <c r="A863">
        <v>862</v>
      </c>
      <c r="B863">
        <v>157994634</v>
      </c>
      <c r="C863" t="s">
        <v>469</v>
      </c>
      <c r="D863" s="20" t="s">
        <v>1068</v>
      </c>
      <c r="E863" s="8" t="s">
        <v>490</v>
      </c>
      <c r="F863" t="s">
        <v>272</v>
      </c>
      <c r="G863" t="s">
        <v>491</v>
      </c>
      <c r="H863" t="s">
        <v>1071</v>
      </c>
      <c r="I863" s="2">
        <v>44908.585931330999</v>
      </c>
      <c r="J863" s="2">
        <v>45012</v>
      </c>
      <c r="K863" t="s">
        <v>514</v>
      </c>
    </row>
    <row r="864" spans="1:11">
      <c r="A864">
        <v>863</v>
      </c>
      <c r="B864">
        <v>166842973</v>
      </c>
      <c r="C864" t="s">
        <v>327</v>
      </c>
      <c r="D864" t="s">
        <v>363</v>
      </c>
      <c r="E864" s="8" t="s">
        <v>470</v>
      </c>
      <c r="F864" t="s">
        <v>1108</v>
      </c>
      <c r="G864" t="s">
        <v>499</v>
      </c>
      <c r="H864" t="s">
        <v>1070</v>
      </c>
      <c r="I864" s="2">
        <v>44908.587060381898</v>
      </c>
      <c r="J864" s="2">
        <v>45019</v>
      </c>
      <c r="K864" t="s">
        <v>514</v>
      </c>
    </row>
    <row r="865" spans="1:11">
      <c r="A865">
        <v>864</v>
      </c>
      <c r="B865">
        <v>166551767</v>
      </c>
      <c r="C865" t="s">
        <v>435</v>
      </c>
      <c r="D865" s="20" t="s">
        <v>1068</v>
      </c>
      <c r="E865" s="8" t="s">
        <v>431</v>
      </c>
      <c r="F865" t="s">
        <v>272</v>
      </c>
      <c r="G865" t="s">
        <v>491</v>
      </c>
      <c r="H865" t="s">
        <v>1071</v>
      </c>
      <c r="I865" s="2">
        <v>44908.587413622699</v>
      </c>
      <c r="J865" s="2">
        <v>44992</v>
      </c>
      <c r="K865" t="s">
        <v>514</v>
      </c>
    </row>
    <row r="866" spans="1:11">
      <c r="A866">
        <v>865</v>
      </c>
      <c r="B866">
        <v>166553435</v>
      </c>
      <c r="C866" t="s">
        <v>320</v>
      </c>
      <c r="D866" t="s">
        <v>320</v>
      </c>
      <c r="E866" s="8" t="s">
        <v>730</v>
      </c>
      <c r="F866" t="s">
        <v>1108</v>
      </c>
      <c r="G866" t="s">
        <v>779</v>
      </c>
      <c r="H866" t="s">
        <v>1070</v>
      </c>
      <c r="I866" s="2">
        <v>44908.633256365698</v>
      </c>
      <c r="J866" s="2">
        <v>44963</v>
      </c>
      <c r="K866" t="s">
        <v>511</v>
      </c>
    </row>
    <row r="867" spans="1:11">
      <c r="A867">
        <v>866</v>
      </c>
      <c r="B867">
        <v>168101078</v>
      </c>
      <c r="C867" t="s">
        <v>1024</v>
      </c>
      <c r="D867" t="s">
        <v>363</v>
      </c>
      <c r="E867" s="8" t="s">
        <v>158</v>
      </c>
      <c r="F867" t="s">
        <v>272</v>
      </c>
      <c r="G867" t="s">
        <v>779</v>
      </c>
      <c r="H867" t="s">
        <v>1070</v>
      </c>
      <c r="I867" s="2">
        <v>44908.6442340625</v>
      </c>
      <c r="J867" s="2">
        <v>44985</v>
      </c>
      <c r="K867" t="s">
        <v>511</v>
      </c>
    </row>
    <row r="868" spans="1:11">
      <c r="A868">
        <v>867</v>
      </c>
      <c r="B868">
        <v>166549275</v>
      </c>
      <c r="C868" t="s">
        <v>482</v>
      </c>
      <c r="D868" s="20" t="s">
        <v>1068</v>
      </c>
      <c r="E868" s="8" t="s">
        <v>489</v>
      </c>
      <c r="F868" t="s">
        <v>1108</v>
      </c>
      <c r="G868" t="s">
        <v>499</v>
      </c>
      <c r="H868" t="s">
        <v>1070</v>
      </c>
      <c r="I868" s="2">
        <v>44908.645675231499</v>
      </c>
      <c r="J868" s="2">
        <v>45039</v>
      </c>
      <c r="K868" t="s">
        <v>514</v>
      </c>
    </row>
    <row r="869" spans="1:11">
      <c r="A869">
        <v>868</v>
      </c>
      <c r="B869">
        <v>159085420</v>
      </c>
      <c r="C869" t="s">
        <v>371</v>
      </c>
      <c r="D869" s="20" t="s">
        <v>1068</v>
      </c>
      <c r="E869" s="8" t="s">
        <v>737</v>
      </c>
      <c r="F869" t="s">
        <v>272</v>
      </c>
      <c r="G869" t="s">
        <v>504</v>
      </c>
      <c r="H869" t="s">
        <v>1070</v>
      </c>
      <c r="I869" s="2">
        <v>44908.711221608799</v>
      </c>
      <c r="J869" s="2">
        <v>44986</v>
      </c>
      <c r="K869" t="s">
        <v>512</v>
      </c>
    </row>
    <row r="870" spans="1:11">
      <c r="A870">
        <v>869</v>
      </c>
      <c r="B870">
        <v>166551463</v>
      </c>
      <c r="C870" t="s">
        <v>357</v>
      </c>
      <c r="D870" t="s">
        <v>357</v>
      </c>
      <c r="E870" s="8" t="s">
        <v>149</v>
      </c>
      <c r="F870" t="s">
        <v>274</v>
      </c>
      <c r="G870" t="s">
        <v>779</v>
      </c>
      <c r="H870" t="s">
        <v>1070</v>
      </c>
      <c r="I870" s="2">
        <v>44908.712886608802</v>
      </c>
      <c r="J870" s="2">
        <v>44970</v>
      </c>
      <c r="K870" t="s">
        <v>511</v>
      </c>
    </row>
    <row r="871" spans="1:11">
      <c r="A871">
        <v>870</v>
      </c>
      <c r="B871">
        <v>166551715</v>
      </c>
      <c r="C871" t="s">
        <v>918</v>
      </c>
      <c r="D871" t="s">
        <v>1042</v>
      </c>
      <c r="E871" s="8" t="s">
        <v>424</v>
      </c>
      <c r="F871" t="s">
        <v>272</v>
      </c>
      <c r="G871" t="s">
        <v>491</v>
      </c>
      <c r="H871" t="s">
        <v>1071</v>
      </c>
      <c r="I871" s="2">
        <v>44908.7209085301</v>
      </c>
      <c r="J871" s="2">
        <v>44955</v>
      </c>
      <c r="K871" t="s">
        <v>513</v>
      </c>
    </row>
    <row r="872" spans="1:11">
      <c r="A872">
        <v>871</v>
      </c>
      <c r="B872">
        <v>164639203</v>
      </c>
      <c r="C872" t="s">
        <v>678</v>
      </c>
      <c r="D872" t="s">
        <v>678</v>
      </c>
      <c r="E872" s="8" t="s">
        <v>221</v>
      </c>
      <c r="F872" t="s">
        <v>272</v>
      </c>
      <c r="G872" t="s">
        <v>491</v>
      </c>
      <c r="H872" t="s">
        <v>1071</v>
      </c>
      <c r="I872" s="2">
        <v>44908.736941053197</v>
      </c>
      <c r="J872" s="2">
        <v>44986</v>
      </c>
      <c r="K872" t="s">
        <v>512</v>
      </c>
    </row>
    <row r="873" spans="1:11">
      <c r="A873">
        <v>872</v>
      </c>
      <c r="B873">
        <v>166843619</v>
      </c>
      <c r="C873" t="s">
        <v>918</v>
      </c>
      <c r="D873" t="s">
        <v>1042</v>
      </c>
      <c r="E873" s="8" t="s">
        <v>424</v>
      </c>
      <c r="F873" t="s">
        <v>272</v>
      </c>
      <c r="G873" t="s">
        <v>491</v>
      </c>
      <c r="H873" t="s">
        <v>1071</v>
      </c>
      <c r="I873" s="2">
        <v>44908.873586886599</v>
      </c>
      <c r="J873" s="2">
        <v>44953</v>
      </c>
      <c r="K873" t="s">
        <v>513</v>
      </c>
    </row>
    <row r="874" spans="1:11">
      <c r="A874">
        <v>873</v>
      </c>
      <c r="B874">
        <v>143069392</v>
      </c>
      <c r="C874" t="s">
        <v>320</v>
      </c>
      <c r="D874" t="s">
        <v>320</v>
      </c>
      <c r="E874" s="8" t="s">
        <v>737</v>
      </c>
      <c r="F874" t="s">
        <v>272</v>
      </c>
      <c r="G874" t="s">
        <v>504</v>
      </c>
      <c r="H874" t="s">
        <v>1070</v>
      </c>
      <c r="I874" s="2">
        <v>44908.904098148101</v>
      </c>
      <c r="J874" s="2">
        <v>44986</v>
      </c>
      <c r="K874" t="s">
        <v>512</v>
      </c>
    </row>
    <row r="875" spans="1:11">
      <c r="A875">
        <v>874</v>
      </c>
      <c r="B875">
        <v>166549205</v>
      </c>
      <c r="C875" t="s">
        <v>320</v>
      </c>
      <c r="D875" t="s">
        <v>320</v>
      </c>
      <c r="E875" s="8" t="s">
        <v>737</v>
      </c>
      <c r="F875" t="s">
        <v>272</v>
      </c>
      <c r="G875" t="s">
        <v>504</v>
      </c>
      <c r="H875" t="s">
        <v>1070</v>
      </c>
      <c r="I875" s="2">
        <v>44908.905048298599</v>
      </c>
      <c r="J875" s="2">
        <v>44986</v>
      </c>
      <c r="K875" t="s">
        <v>512</v>
      </c>
    </row>
    <row r="876" spans="1:11">
      <c r="A876">
        <v>875</v>
      </c>
      <c r="B876">
        <v>166843393</v>
      </c>
      <c r="C876" t="s">
        <v>306</v>
      </c>
      <c r="D876" t="s">
        <v>306</v>
      </c>
      <c r="E876" s="8" t="s">
        <v>737</v>
      </c>
      <c r="F876" t="s">
        <v>272</v>
      </c>
      <c r="G876" t="s">
        <v>504</v>
      </c>
      <c r="H876" t="s">
        <v>1070</v>
      </c>
      <c r="I876" s="2">
        <v>44908.906069525503</v>
      </c>
      <c r="J876" s="2">
        <v>44986</v>
      </c>
      <c r="K876" t="s">
        <v>512</v>
      </c>
    </row>
    <row r="877" spans="1:11">
      <c r="A877">
        <v>876</v>
      </c>
      <c r="B877">
        <v>166549197</v>
      </c>
      <c r="C877" t="s">
        <v>960</v>
      </c>
      <c r="D877" t="s">
        <v>1042</v>
      </c>
      <c r="E877" s="8" t="s">
        <v>737</v>
      </c>
      <c r="F877" t="s">
        <v>272</v>
      </c>
      <c r="G877" t="s">
        <v>504</v>
      </c>
      <c r="H877" t="s">
        <v>1070</v>
      </c>
      <c r="I877" s="2">
        <v>44908.907464201402</v>
      </c>
      <c r="J877" s="2">
        <v>44986</v>
      </c>
      <c r="K877" t="s">
        <v>512</v>
      </c>
    </row>
    <row r="878" spans="1:11">
      <c r="A878">
        <v>877</v>
      </c>
      <c r="B878">
        <v>166551481</v>
      </c>
      <c r="C878" t="s">
        <v>373</v>
      </c>
      <c r="D878" t="s">
        <v>363</v>
      </c>
      <c r="E878" s="8" t="s">
        <v>194</v>
      </c>
      <c r="F878" t="s">
        <v>276</v>
      </c>
      <c r="G878" t="s">
        <v>504</v>
      </c>
      <c r="H878" t="s">
        <v>1070</v>
      </c>
      <c r="I878" s="2">
        <v>44909.503230289403</v>
      </c>
      <c r="J878" s="2">
        <v>44986</v>
      </c>
      <c r="K878" t="s">
        <v>512</v>
      </c>
    </row>
    <row r="879" spans="1:11">
      <c r="A879">
        <v>878</v>
      </c>
      <c r="B879">
        <v>166549967</v>
      </c>
      <c r="C879" t="s">
        <v>678</v>
      </c>
      <c r="D879" t="s">
        <v>678</v>
      </c>
      <c r="E879" s="8" t="s">
        <v>192</v>
      </c>
      <c r="F879" t="s">
        <v>1108</v>
      </c>
      <c r="G879" t="s">
        <v>504</v>
      </c>
      <c r="H879" t="s">
        <v>1070</v>
      </c>
      <c r="I879" s="2">
        <v>44909.504175925897</v>
      </c>
      <c r="J879" s="2">
        <v>44986</v>
      </c>
      <c r="K879" t="s">
        <v>512</v>
      </c>
    </row>
    <row r="880" spans="1:11">
      <c r="A880">
        <v>879</v>
      </c>
      <c r="B880">
        <v>166551475</v>
      </c>
      <c r="C880" t="s">
        <v>678</v>
      </c>
      <c r="D880" t="s">
        <v>678</v>
      </c>
      <c r="E880" s="8" t="s">
        <v>766</v>
      </c>
      <c r="F880" t="s">
        <v>1108</v>
      </c>
      <c r="G880" t="s">
        <v>504</v>
      </c>
      <c r="H880" t="s">
        <v>1070</v>
      </c>
      <c r="I880" s="2">
        <v>44909.505281099497</v>
      </c>
      <c r="J880" s="2">
        <v>44986</v>
      </c>
      <c r="K880" t="s">
        <v>512</v>
      </c>
    </row>
    <row r="881" spans="1:11">
      <c r="A881">
        <v>880</v>
      </c>
      <c r="B881">
        <v>165377666</v>
      </c>
      <c r="C881" t="s">
        <v>375</v>
      </c>
      <c r="D881" t="s">
        <v>1042</v>
      </c>
      <c r="E881" s="8" t="s">
        <v>197</v>
      </c>
      <c r="F881" t="s">
        <v>274</v>
      </c>
      <c r="G881" t="s">
        <v>504</v>
      </c>
      <c r="H881" t="s">
        <v>1070</v>
      </c>
      <c r="I881" s="2">
        <v>44909.506747766201</v>
      </c>
      <c r="J881" s="2">
        <v>44986</v>
      </c>
      <c r="K881" t="s">
        <v>512</v>
      </c>
    </row>
    <row r="882" spans="1:11">
      <c r="A882">
        <v>881</v>
      </c>
      <c r="B882">
        <v>166551471</v>
      </c>
      <c r="C882" t="s">
        <v>320</v>
      </c>
      <c r="D882" t="s">
        <v>320</v>
      </c>
      <c r="E882" s="8" t="s">
        <v>193</v>
      </c>
      <c r="F882" t="s">
        <v>1108</v>
      </c>
      <c r="G882" t="s">
        <v>504</v>
      </c>
      <c r="H882" t="s">
        <v>1070</v>
      </c>
      <c r="I882" s="2">
        <v>44909.507943020799</v>
      </c>
      <c r="J882" s="2">
        <v>44986</v>
      </c>
      <c r="K882" t="s">
        <v>512</v>
      </c>
    </row>
    <row r="883" spans="1:11">
      <c r="A883">
        <v>882</v>
      </c>
      <c r="B883">
        <v>166551479</v>
      </c>
      <c r="C883" t="s">
        <v>373</v>
      </c>
      <c r="D883" t="s">
        <v>363</v>
      </c>
      <c r="E883" s="8" t="s">
        <v>194</v>
      </c>
      <c r="F883" t="s">
        <v>276</v>
      </c>
      <c r="G883" t="s">
        <v>504</v>
      </c>
      <c r="H883" t="s">
        <v>1070</v>
      </c>
      <c r="I883" s="2">
        <v>44909.509147997698</v>
      </c>
      <c r="J883" s="2">
        <v>44986</v>
      </c>
      <c r="K883" t="s">
        <v>512</v>
      </c>
    </row>
    <row r="884" spans="1:11">
      <c r="A884">
        <v>883</v>
      </c>
      <c r="B884">
        <v>166549971</v>
      </c>
      <c r="C884" t="s">
        <v>320</v>
      </c>
      <c r="D884" t="s">
        <v>320</v>
      </c>
      <c r="E884" s="8" t="s">
        <v>193</v>
      </c>
      <c r="F884" t="s">
        <v>1108</v>
      </c>
      <c r="G884" t="s">
        <v>504</v>
      </c>
      <c r="H884" t="s">
        <v>1070</v>
      </c>
      <c r="I884" s="2">
        <v>44909.510196296302</v>
      </c>
      <c r="J884" s="2">
        <v>44986</v>
      </c>
      <c r="K884" t="s">
        <v>512</v>
      </c>
    </row>
    <row r="885" spans="1:11">
      <c r="A885">
        <v>884</v>
      </c>
      <c r="B885">
        <v>165377664</v>
      </c>
      <c r="C885" t="s">
        <v>291</v>
      </c>
      <c r="D885" t="s">
        <v>363</v>
      </c>
      <c r="E885" s="8" t="s">
        <v>197</v>
      </c>
      <c r="F885" t="s">
        <v>274</v>
      </c>
      <c r="G885" t="s">
        <v>504</v>
      </c>
      <c r="H885" t="s">
        <v>1070</v>
      </c>
      <c r="I885" s="2">
        <v>44909.511072719899</v>
      </c>
      <c r="J885" s="2">
        <v>44986</v>
      </c>
      <c r="K885" t="s">
        <v>512</v>
      </c>
    </row>
    <row r="886" spans="1:11">
      <c r="A886">
        <v>885</v>
      </c>
      <c r="B886">
        <v>166553471</v>
      </c>
      <c r="C886" t="s">
        <v>317</v>
      </c>
      <c r="D886" t="s">
        <v>346</v>
      </c>
      <c r="E886" s="8" t="s">
        <v>196</v>
      </c>
      <c r="F886" t="s">
        <v>1108</v>
      </c>
      <c r="G886" t="s">
        <v>504</v>
      </c>
      <c r="H886" t="s">
        <v>1070</v>
      </c>
      <c r="I886" s="2">
        <v>44909.511919988399</v>
      </c>
      <c r="J886" s="2">
        <v>44986</v>
      </c>
      <c r="K886" t="s">
        <v>512</v>
      </c>
    </row>
    <row r="887" spans="1:11">
      <c r="A887">
        <v>886</v>
      </c>
      <c r="B887">
        <v>166551469</v>
      </c>
      <c r="C887" t="s">
        <v>405</v>
      </c>
      <c r="D887" s="20" t="s">
        <v>1068</v>
      </c>
      <c r="E887" s="8" t="s">
        <v>753</v>
      </c>
      <c r="F887" t="s">
        <v>272</v>
      </c>
      <c r="G887" t="s">
        <v>504</v>
      </c>
      <c r="H887" t="s">
        <v>1070</v>
      </c>
      <c r="I887" s="2">
        <v>44909.512758217599</v>
      </c>
      <c r="J887" s="2">
        <v>44986</v>
      </c>
      <c r="K887" t="s">
        <v>512</v>
      </c>
    </row>
    <row r="888" spans="1:11">
      <c r="A888">
        <v>887</v>
      </c>
      <c r="B888">
        <v>166551477</v>
      </c>
      <c r="C888" t="s">
        <v>320</v>
      </c>
      <c r="D888" t="s">
        <v>320</v>
      </c>
      <c r="E888" s="8" t="s">
        <v>193</v>
      </c>
      <c r="F888" t="s">
        <v>1108</v>
      </c>
      <c r="G888" t="s">
        <v>504</v>
      </c>
      <c r="H888" t="s">
        <v>1070</v>
      </c>
      <c r="I888" s="2">
        <v>44909.514503437502</v>
      </c>
      <c r="J888" s="2">
        <v>44986</v>
      </c>
      <c r="K888" t="s">
        <v>512</v>
      </c>
    </row>
    <row r="889" spans="1:11">
      <c r="A889">
        <v>888</v>
      </c>
      <c r="B889">
        <v>166549193</v>
      </c>
      <c r="C889" t="s">
        <v>678</v>
      </c>
      <c r="D889" t="s">
        <v>678</v>
      </c>
      <c r="E889" s="8" t="s">
        <v>754</v>
      </c>
      <c r="F889" t="s">
        <v>1108</v>
      </c>
      <c r="G889" t="s">
        <v>779</v>
      </c>
      <c r="H889" t="s">
        <v>1070</v>
      </c>
      <c r="I889" s="2">
        <v>44909.524448032404</v>
      </c>
      <c r="J889" s="2">
        <v>44954</v>
      </c>
      <c r="K889" t="s">
        <v>512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30"/>
  <sheetViews>
    <sheetView workbookViewId="0">
      <selection activeCell="X1" sqref="X1:X1048576"/>
    </sheetView>
  </sheetViews>
  <sheetFormatPr baseColWidth="10" defaultColWidth="8.83203125" defaultRowHeight="15"/>
  <cols>
    <col min="2" max="2" width="40.33203125" customWidth="1"/>
    <col min="3" max="3" width="107.83203125" customWidth="1"/>
    <col min="4" max="4" width="11.83203125" style="4" bestFit="1" customWidth="1"/>
    <col min="5" max="5" width="22.83203125" style="10" customWidth="1"/>
    <col min="6" max="6" width="9" style="7" customWidth="1"/>
    <col min="7" max="7" width="10" style="7" customWidth="1"/>
    <col min="8" max="8" width="13.33203125" style="7" customWidth="1"/>
    <col min="9" max="10" width="14" style="7" customWidth="1"/>
    <col min="11" max="11" width="12.83203125" style="7" customWidth="1"/>
    <col min="12" max="12" width="15" style="7" customWidth="1"/>
    <col min="13" max="13" width="12.6640625" style="7" customWidth="1"/>
    <col min="14" max="14" width="15.5" style="7" customWidth="1"/>
    <col min="15" max="15" width="12.83203125" style="7" customWidth="1"/>
    <col min="16" max="16" width="30.5" style="7" bestFit="1" customWidth="1"/>
    <col min="17" max="17" width="16.5" style="22" customWidth="1"/>
    <col min="18" max="18" width="15.83203125" style="22" customWidth="1"/>
    <col min="19" max="19" width="20.6640625" style="22" customWidth="1"/>
    <col min="20" max="20" width="19" style="22" customWidth="1"/>
    <col min="21" max="21" width="19.6640625" style="22" customWidth="1"/>
    <col min="22" max="22" width="17.33203125" style="22" customWidth="1"/>
    <col min="23" max="24" width="17.33203125" style="27" customWidth="1"/>
    <col min="25" max="25" width="14.5" style="22" customWidth="1"/>
  </cols>
  <sheetData>
    <row r="1" spans="1:25" s="1" customFormat="1">
      <c r="A1" s="1" t="s">
        <v>780</v>
      </c>
      <c r="B1" s="1" t="s">
        <v>664</v>
      </c>
      <c r="C1" s="1" t="s">
        <v>696</v>
      </c>
      <c r="D1" s="3" t="s">
        <v>675</v>
      </c>
      <c r="E1" s="9" t="s">
        <v>790</v>
      </c>
      <c r="F1" s="11" t="s">
        <v>674</v>
      </c>
      <c r="G1" s="11" t="s">
        <v>673</v>
      </c>
      <c r="H1" s="11" t="s">
        <v>672</v>
      </c>
      <c r="I1" s="11" t="s">
        <v>671</v>
      </c>
      <c r="J1" s="11" t="s">
        <v>670</v>
      </c>
      <c r="K1" s="11" t="s">
        <v>669</v>
      </c>
      <c r="L1" s="11" t="s">
        <v>668</v>
      </c>
      <c r="M1" s="11" t="s">
        <v>667</v>
      </c>
      <c r="N1" s="11" t="s">
        <v>666</v>
      </c>
      <c r="O1" s="11" t="s">
        <v>665</v>
      </c>
      <c r="P1" s="6" t="s">
        <v>676</v>
      </c>
      <c r="Q1" s="21" t="s">
        <v>781</v>
      </c>
      <c r="R1" s="21" t="s">
        <v>785</v>
      </c>
      <c r="S1" s="21" t="s">
        <v>1087</v>
      </c>
      <c r="T1" s="21" t="s">
        <v>1088</v>
      </c>
      <c r="U1" s="21" t="s">
        <v>784</v>
      </c>
      <c r="V1" s="21" t="s">
        <v>782</v>
      </c>
      <c r="W1" s="21" t="s">
        <v>783</v>
      </c>
      <c r="X1" s="21" t="s">
        <v>1086</v>
      </c>
      <c r="Y1" s="21" t="s">
        <v>786</v>
      </c>
    </row>
    <row r="2" spans="1:25">
      <c r="A2">
        <v>1</v>
      </c>
      <c r="B2" t="s">
        <v>1048</v>
      </c>
      <c r="C2" t="s">
        <v>559</v>
      </c>
      <c r="D2" s="4">
        <v>45296.625</v>
      </c>
      <c r="E2" s="10" t="s">
        <v>791</v>
      </c>
      <c r="F2" s="7">
        <v>845</v>
      </c>
      <c r="G2" s="7">
        <v>4</v>
      </c>
      <c r="H2" s="7">
        <v>1</v>
      </c>
      <c r="I2" s="7">
        <v>3</v>
      </c>
      <c r="J2" s="7">
        <v>841</v>
      </c>
      <c r="K2" s="7">
        <v>333</v>
      </c>
      <c r="L2" s="7">
        <v>228</v>
      </c>
      <c r="M2" s="7">
        <v>71</v>
      </c>
      <c r="N2" s="7">
        <v>46</v>
      </c>
      <c r="O2" s="7">
        <v>1</v>
      </c>
      <c r="P2" s="7">
        <v>302</v>
      </c>
      <c r="Q2" s="22">
        <f t="shared" ref="Q2:Q65" si="0">SUM(L2/J2)</f>
        <v>0.27110582639714625</v>
      </c>
      <c r="R2" s="22">
        <f t="shared" ref="R2:R65" si="1">SUM(P2/J2)</f>
        <v>0.35909631391200952</v>
      </c>
      <c r="S2" s="22" t="e">
        <f t="shared" ref="S2:S65" si="2">IF(R2=MAX($R$2:$R$225),R2,NA())</f>
        <v>#N/A</v>
      </c>
      <c r="T2" s="22" t="e">
        <f>IF(R2=_xlfn.MINIFS($R$2:$R$225,$R$2:$R$225,"&lt;&gt;0"),R2,NA())</f>
        <v>#N/A</v>
      </c>
      <c r="U2" s="22">
        <f>SUM(O2/J2)</f>
        <v>1.1890606420927466E-3</v>
      </c>
      <c r="V2" s="23">
        <f>SUM(N2/L2)</f>
        <v>0.20175438596491227</v>
      </c>
      <c r="W2" s="24">
        <f>SUM(G2/F2)</f>
        <v>4.7337278106508876E-3</v>
      </c>
      <c r="X2" s="24">
        <f t="shared" ref="X2:X65" si="3">SUM(N2/J2)</f>
        <v>5.4696789536266346E-2</v>
      </c>
      <c r="Y2" s="23">
        <f t="shared" ref="Y2:Y65" si="4">SUM(J2/F2)</f>
        <v>0.99526627218934915</v>
      </c>
    </row>
    <row r="3" spans="1:25">
      <c r="A3">
        <v>2</v>
      </c>
      <c r="B3" t="s">
        <v>1049</v>
      </c>
      <c r="C3" t="s">
        <v>698</v>
      </c>
      <c r="D3" s="4">
        <v>45301.630555555559</v>
      </c>
      <c r="E3" s="10" t="s">
        <v>792</v>
      </c>
      <c r="F3" s="7">
        <v>570</v>
      </c>
      <c r="G3" s="7">
        <v>0</v>
      </c>
      <c r="H3" s="7">
        <v>0</v>
      </c>
      <c r="I3" s="7">
        <v>0</v>
      </c>
      <c r="J3" s="7">
        <v>570</v>
      </c>
      <c r="K3" s="7">
        <v>2037</v>
      </c>
      <c r="L3" s="7">
        <v>334</v>
      </c>
      <c r="M3" s="7">
        <v>397</v>
      </c>
      <c r="N3" s="7">
        <v>191</v>
      </c>
      <c r="O3" s="7">
        <v>0</v>
      </c>
      <c r="P3" s="7">
        <v>227</v>
      </c>
      <c r="Q3" s="22">
        <f t="shared" si="0"/>
        <v>0.5859649122807018</v>
      </c>
      <c r="R3" s="22">
        <f t="shared" si="1"/>
        <v>0.39824561403508774</v>
      </c>
      <c r="S3" s="22" t="e">
        <f t="shared" si="2"/>
        <v>#N/A</v>
      </c>
      <c r="T3" s="22" t="e">
        <f t="shared" ref="T3:T65" si="5">IF(R3=_xlfn.MINIFS($R$2:$R$225,$R$2:$R$225,"&lt;&gt;0"),R3,NA())</f>
        <v>#N/A</v>
      </c>
      <c r="U3" s="22">
        <f>SUM(O3/J3)</f>
        <v>0</v>
      </c>
      <c r="V3" s="23">
        <f t="shared" ref="V3:V33" si="6">SUM(N3/L3)</f>
        <v>0.57185628742514971</v>
      </c>
      <c r="W3" s="24">
        <f t="shared" ref="W3:W65" si="7">SUM(G3/F3)</f>
        <v>0</v>
      </c>
      <c r="X3" s="24">
        <f t="shared" si="3"/>
        <v>0.3350877192982456</v>
      </c>
      <c r="Y3" s="23">
        <f t="shared" si="4"/>
        <v>1</v>
      </c>
    </row>
    <row r="4" spans="1:25">
      <c r="A4">
        <v>3</v>
      </c>
      <c r="B4" t="s">
        <v>697</v>
      </c>
      <c r="C4" t="s">
        <v>1062</v>
      </c>
      <c r="D4" s="4">
        <v>45302.499780092592</v>
      </c>
      <c r="E4" s="10" t="s">
        <v>793</v>
      </c>
      <c r="F4" s="7">
        <v>138</v>
      </c>
      <c r="G4" s="7">
        <v>0</v>
      </c>
      <c r="H4" s="7">
        <v>0</v>
      </c>
      <c r="I4" s="7">
        <v>0</v>
      </c>
      <c r="J4" s="7">
        <v>138</v>
      </c>
      <c r="K4" s="7">
        <v>535</v>
      </c>
      <c r="L4" s="7">
        <v>67</v>
      </c>
      <c r="M4" s="7">
        <v>152</v>
      </c>
      <c r="N4" s="7">
        <v>42</v>
      </c>
      <c r="O4" s="7">
        <v>0</v>
      </c>
      <c r="P4" s="7">
        <v>71</v>
      </c>
      <c r="Q4" s="22">
        <f t="shared" si="0"/>
        <v>0.48550724637681159</v>
      </c>
      <c r="R4" s="22">
        <f t="shared" si="1"/>
        <v>0.51449275362318836</v>
      </c>
      <c r="S4" s="22" t="e">
        <f t="shared" si="2"/>
        <v>#N/A</v>
      </c>
      <c r="T4" s="22" t="e">
        <f t="shared" si="5"/>
        <v>#N/A</v>
      </c>
      <c r="U4" s="22">
        <f t="shared" ref="U4:U33" si="8">SUM(O4/J4)</f>
        <v>0</v>
      </c>
      <c r="V4" s="23">
        <f t="shared" si="6"/>
        <v>0.62686567164179108</v>
      </c>
      <c r="W4" s="24">
        <f t="shared" si="7"/>
        <v>0</v>
      </c>
      <c r="X4" s="24">
        <f t="shared" si="3"/>
        <v>0.30434782608695654</v>
      </c>
      <c r="Y4" s="23">
        <f t="shared" si="4"/>
        <v>1</v>
      </c>
    </row>
    <row r="5" spans="1:25">
      <c r="A5">
        <v>4</v>
      </c>
      <c r="B5" t="s">
        <v>697</v>
      </c>
      <c r="C5" t="s">
        <v>1062</v>
      </c>
      <c r="D5" s="4">
        <v>45302.684513888889</v>
      </c>
      <c r="E5" s="10" t="s">
        <v>794</v>
      </c>
      <c r="F5" s="7">
        <v>37</v>
      </c>
      <c r="G5" s="7">
        <v>1</v>
      </c>
      <c r="H5" s="7">
        <v>0</v>
      </c>
      <c r="I5" s="7">
        <v>1</v>
      </c>
      <c r="J5" s="7">
        <v>36</v>
      </c>
      <c r="K5" s="7">
        <v>66</v>
      </c>
      <c r="L5" s="7">
        <v>19</v>
      </c>
      <c r="M5" s="7">
        <v>26</v>
      </c>
      <c r="N5" s="7">
        <v>10</v>
      </c>
      <c r="O5" s="7">
        <v>0</v>
      </c>
      <c r="P5" s="7">
        <v>27</v>
      </c>
      <c r="Q5" s="22">
        <f t="shared" si="0"/>
        <v>0.52777777777777779</v>
      </c>
      <c r="R5" s="22">
        <f t="shared" si="1"/>
        <v>0.75</v>
      </c>
      <c r="S5" s="22" t="e">
        <f t="shared" si="2"/>
        <v>#N/A</v>
      </c>
      <c r="T5" s="22" t="e">
        <f t="shared" si="5"/>
        <v>#N/A</v>
      </c>
      <c r="U5" s="22">
        <f t="shared" si="8"/>
        <v>0</v>
      </c>
      <c r="V5" s="23">
        <f t="shared" si="6"/>
        <v>0.52631578947368418</v>
      </c>
      <c r="W5" s="24">
        <f t="shared" si="7"/>
        <v>2.7027027027027029E-2</v>
      </c>
      <c r="X5" s="24">
        <f t="shared" si="3"/>
        <v>0.27777777777777779</v>
      </c>
      <c r="Y5" s="23">
        <f t="shared" si="4"/>
        <v>0.97297297297297303</v>
      </c>
    </row>
    <row r="6" spans="1:25">
      <c r="A6">
        <v>5</v>
      </c>
      <c r="B6" t="s">
        <v>1050</v>
      </c>
      <c r="C6" t="s">
        <v>699</v>
      </c>
      <c r="D6" s="4">
        <v>45304.635416666664</v>
      </c>
      <c r="E6" s="10" t="s">
        <v>795</v>
      </c>
      <c r="F6" s="7">
        <v>7555</v>
      </c>
      <c r="G6" s="7">
        <v>67</v>
      </c>
      <c r="H6" s="7">
        <v>25</v>
      </c>
      <c r="I6" s="7">
        <v>42</v>
      </c>
      <c r="J6" s="7">
        <v>7488</v>
      </c>
      <c r="K6" s="7">
        <v>2305</v>
      </c>
      <c r="L6" s="7">
        <v>1692</v>
      </c>
      <c r="M6" s="7">
        <v>2620</v>
      </c>
      <c r="N6" s="7">
        <v>167</v>
      </c>
      <c r="O6" s="7">
        <v>12</v>
      </c>
      <c r="P6" s="7">
        <v>1500</v>
      </c>
      <c r="Q6" s="22">
        <f t="shared" si="0"/>
        <v>0.22596153846153846</v>
      </c>
      <c r="R6" s="22">
        <f t="shared" si="1"/>
        <v>0.20032051282051283</v>
      </c>
      <c r="S6" s="22" t="e">
        <f t="shared" si="2"/>
        <v>#N/A</v>
      </c>
      <c r="T6" s="22" t="e">
        <f t="shared" si="5"/>
        <v>#N/A</v>
      </c>
      <c r="U6" s="22">
        <f t="shared" si="8"/>
        <v>1.6025641025641025E-3</v>
      </c>
      <c r="V6" s="23">
        <f t="shared" si="6"/>
        <v>9.8699763593380618E-2</v>
      </c>
      <c r="W6" s="24">
        <f t="shared" si="7"/>
        <v>8.86829913964262E-3</v>
      </c>
      <c r="X6" s="24">
        <f t="shared" si="3"/>
        <v>2.2302350427350428E-2</v>
      </c>
      <c r="Y6" s="23">
        <f t="shared" si="4"/>
        <v>0.9911317008603574</v>
      </c>
    </row>
    <row r="7" spans="1:25">
      <c r="A7">
        <v>6</v>
      </c>
      <c r="B7" t="s">
        <v>1051</v>
      </c>
      <c r="C7" t="s">
        <v>700</v>
      </c>
      <c r="D7" s="4">
        <v>45305.604166666664</v>
      </c>
      <c r="E7" s="10" t="s">
        <v>796</v>
      </c>
      <c r="F7" s="7">
        <v>791</v>
      </c>
      <c r="G7" s="7">
        <v>1</v>
      </c>
      <c r="H7" s="7">
        <v>0</v>
      </c>
      <c r="I7" s="7">
        <v>1</v>
      </c>
      <c r="J7" s="7">
        <v>790</v>
      </c>
      <c r="K7" s="7">
        <v>1515</v>
      </c>
      <c r="L7" s="7">
        <v>434</v>
      </c>
      <c r="M7" s="7">
        <v>566</v>
      </c>
      <c r="N7" s="7">
        <v>243</v>
      </c>
      <c r="O7" s="7">
        <v>0</v>
      </c>
      <c r="P7" s="7">
        <v>248</v>
      </c>
      <c r="Q7" s="22">
        <f t="shared" si="0"/>
        <v>0.54936708860759498</v>
      </c>
      <c r="R7" s="22">
        <f t="shared" si="1"/>
        <v>0.3139240506329114</v>
      </c>
      <c r="S7" s="22" t="e">
        <f t="shared" si="2"/>
        <v>#N/A</v>
      </c>
      <c r="T7" s="22" t="e">
        <f t="shared" si="5"/>
        <v>#N/A</v>
      </c>
      <c r="U7" s="22">
        <f t="shared" si="8"/>
        <v>0</v>
      </c>
      <c r="V7" s="23">
        <f t="shared" si="6"/>
        <v>0.55990783410138245</v>
      </c>
      <c r="W7" s="24">
        <f t="shared" si="7"/>
        <v>1.2642225031605564E-3</v>
      </c>
      <c r="X7" s="24">
        <f t="shared" si="3"/>
        <v>0.30759493670886073</v>
      </c>
      <c r="Y7" s="23">
        <f t="shared" si="4"/>
        <v>0.99873577749683939</v>
      </c>
    </row>
    <row r="8" spans="1:25">
      <c r="A8">
        <v>7</v>
      </c>
      <c r="B8" t="s">
        <v>1052</v>
      </c>
      <c r="C8" t="s">
        <v>687</v>
      </c>
      <c r="D8" s="4">
        <v>45305.666666666664</v>
      </c>
      <c r="E8" s="10" t="s">
        <v>797</v>
      </c>
      <c r="F8" s="7">
        <v>381</v>
      </c>
      <c r="G8" s="7">
        <v>0</v>
      </c>
      <c r="H8" s="7">
        <v>0</v>
      </c>
      <c r="I8" s="7">
        <v>0</v>
      </c>
      <c r="J8" s="7">
        <v>381</v>
      </c>
      <c r="K8" s="7">
        <v>316</v>
      </c>
      <c r="L8" s="7">
        <v>167</v>
      </c>
      <c r="M8" s="7">
        <v>137</v>
      </c>
      <c r="N8" s="7">
        <v>22</v>
      </c>
      <c r="O8" s="7">
        <v>0</v>
      </c>
      <c r="P8" s="7">
        <v>238</v>
      </c>
      <c r="Q8" s="22">
        <f t="shared" si="0"/>
        <v>0.43832020997375326</v>
      </c>
      <c r="R8" s="22">
        <f t="shared" si="1"/>
        <v>0.62467191601049865</v>
      </c>
      <c r="S8" s="22" t="e">
        <f t="shared" si="2"/>
        <v>#N/A</v>
      </c>
      <c r="T8" s="22" t="e">
        <f t="shared" si="5"/>
        <v>#N/A</v>
      </c>
      <c r="U8" s="22">
        <f t="shared" si="8"/>
        <v>0</v>
      </c>
      <c r="V8" s="23">
        <f t="shared" si="6"/>
        <v>0.1317365269461078</v>
      </c>
      <c r="W8" s="24">
        <f t="shared" si="7"/>
        <v>0</v>
      </c>
      <c r="X8" s="24">
        <f t="shared" si="3"/>
        <v>5.774278215223097E-2</v>
      </c>
      <c r="Y8" s="23">
        <f t="shared" si="4"/>
        <v>1</v>
      </c>
    </row>
    <row r="9" spans="1:25">
      <c r="A9">
        <v>8</v>
      </c>
      <c r="B9" t="s">
        <v>1049</v>
      </c>
      <c r="C9" t="s">
        <v>701</v>
      </c>
      <c r="D9" s="4">
        <v>45308.673611111109</v>
      </c>
      <c r="E9" s="10" t="s">
        <v>798</v>
      </c>
      <c r="F9" s="7">
        <v>661</v>
      </c>
      <c r="G9" s="7">
        <v>0</v>
      </c>
      <c r="H9" s="7">
        <v>0</v>
      </c>
      <c r="I9" s="7">
        <v>0</v>
      </c>
      <c r="J9" s="7">
        <v>661</v>
      </c>
      <c r="K9" s="7">
        <v>933</v>
      </c>
      <c r="L9" s="7">
        <v>323</v>
      </c>
      <c r="M9" s="7">
        <v>31</v>
      </c>
      <c r="N9" s="7">
        <v>22</v>
      </c>
      <c r="O9" s="7">
        <v>0</v>
      </c>
      <c r="P9" s="7">
        <v>218</v>
      </c>
      <c r="Q9" s="22">
        <f t="shared" si="0"/>
        <v>0.4886535552193646</v>
      </c>
      <c r="R9" s="22">
        <f t="shared" si="1"/>
        <v>0.32980332829046899</v>
      </c>
      <c r="S9" s="22" t="e">
        <f t="shared" si="2"/>
        <v>#N/A</v>
      </c>
      <c r="T9" s="22" t="e">
        <f t="shared" si="5"/>
        <v>#N/A</v>
      </c>
      <c r="U9" s="22">
        <f t="shared" si="8"/>
        <v>0</v>
      </c>
      <c r="V9" s="23">
        <f t="shared" si="6"/>
        <v>6.8111455108359129E-2</v>
      </c>
      <c r="W9" s="24">
        <f t="shared" si="7"/>
        <v>0</v>
      </c>
      <c r="X9" s="24">
        <f t="shared" si="3"/>
        <v>3.3282904689863842E-2</v>
      </c>
      <c r="Y9" s="23">
        <f t="shared" si="4"/>
        <v>1</v>
      </c>
    </row>
    <row r="10" spans="1:25">
      <c r="A10">
        <v>9</v>
      </c>
      <c r="B10" t="s">
        <v>1051</v>
      </c>
      <c r="C10" t="s">
        <v>702</v>
      </c>
      <c r="D10" s="4">
        <v>45308.6875</v>
      </c>
      <c r="E10" s="10" t="s">
        <v>799</v>
      </c>
      <c r="F10" s="7">
        <v>429</v>
      </c>
      <c r="G10" s="7">
        <v>0</v>
      </c>
      <c r="H10" s="7">
        <v>0</v>
      </c>
      <c r="I10" s="7">
        <v>0</v>
      </c>
      <c r="J10" s="7">
        <v>429</v>
      </c>
      <c r="K10" s="7">
        <v>684</v>
      </c>
      <c r="L10" s="7">
        <v>186</v>
      </c>
      <c r="M10" s="7">
        <v>224</v>
      </c>
      <c r="N10" s="7">
        <v>99</v>
      </c>
      <c r="O10" s="7">
        <v>0</v>
      </c>
      <c r="P10" s="7">
        <v>86</v>
      </c>
      <c r="Q10" s="22">
        <f t="shared" si="0"/>
        <v>0.43356643356643354</v>
      </c>
      <c r="R10" s="22">
        <f t="shared" si="1"/>
        <v>0.20046620046620048</v>
      </c>
      <c r="S10" s="22" t="e">
        <f>IF(R10=MAX($R$2:$R$225),R10,NA())</f>
        <v>#N/A</v>
      </c>
      <c r="T10" s="22" t="e">
        <f t="shared" si="5"/>
        <v>#N/A</v>
      </c>
      <c r="U10" s="22">
        <f t="shared" si="8"/>
        <v>0</v>
      </c>
      <c r="V10" s="23">
        <f t="shared" si="6"/>
        <v>0.532258064516129</v>
      </c>
      <c r="W10" s="24">
        <f t="shared" si="7"/>
        <v>0</v>
      </c>
      <c r="X10" s="24">
        <f t="shared" si="3"/>
        <v>0.23076923076923078</v>
      </c>
      <c r="Y10" s="23">
        <f t="shared" si="4"/>
        <v>1</v>
      </c>
    </row>
    <row r="11" spans="1:25">
      <c r="A11">
        <v>10</v>
      </c>
      <c r="B11" t="s">
        <v>1051</v>
      </c>
      <c r="C11" t="s">
        <v>703</v>
      </c>
      <c r="D11" s="4">
        <v>45309.604166666664</v>
      </c>
      <c r="E11" s="10" t="s">
        <v>796</v>
      </c>
      <c r="F11" s="7">
        <v>31</v>
      </c>
      <c r="G11" s="7">
        <v>0</v>
      </c>
      <c r="H11" s="7">
        <v>0</v>
      </c>
      <c r="I11" s="7">
        <v>0</v>
      </c>
      <c r="J11" s="7">
        <v>31</v>
      </c>
      <c r="K11" s="7">
        <v>20</v>
      </c>
      <c r="L11" s="7">
        <v>12</v>
      </c>
      <c r="M11" s="7">
        <v>2</v>
      </c>
      <c r="N11" s="7">
        <v>1</v>
      </c>
      <c r="O11" s="7">
        <v>0</v>
      </c>
      <c r="P11" s="7">
        <v>3</v>
      </c>
      <c r="Q11" s="22">
        <f t="shared" si="0"/>
        <v>0.38709677419354838</v>
      </c>
      <c r="R11" s="22">
        <f t="shared" si="1"/>
        <v>9.6774193548387094E-2</v>
      </c>
      <c r="S11" s="22" t="e">
        <f t="shared" si="2"/>
        <v>#N/A</v>
      </c>
      <c r="T11" s="22" t="e">
        <f t="shared" si="5"/>
        <v>#N/A</v>
      </c>
      <c r="U11" s="22">
        <f t="shared" si="8"/>
        <v>0</v>
      </c>
      <c r="V11" s="23">
        <f t="shared" si="6"/>
        <v>8.3333333333333329E-2</v>
      </c>
      <c r="W11" s="24">
        <f t="shared" si="7"/>
        <v>0</v>
      </c>
      <c r="X11" s="24">
        <f t="shared" si="3"/>
        <v>3.2258064516129031E-2</v>
      </c>
      <c r="Y11" s="23">
        <f t="shared" si="4"/>
        <v>1</v>
      </c>
    </row>
    <row r="12" spans="1:25">
      <c r="A12">
        <v>11</v>
      </c>
      <c r="B12" t="s">
        <v>1049</v>
      </c>
      <c r="C12" t="s">
        <v>704</v>
      </c>
      <c r="D12" s="4">
        <v>45309.881944444445</v>
      </c>
      <c r="E12" s="10" t="s">
        <v>800</v>
      </c>
      <c r="F12" s="7">
        <v>53</v>
      </c>
      <c r="G12" s="7">
        <v>0</v>
      </c>
      <c r="H12" s="7">
        <v>0</v>
      </c>
      <c r="I12" s="7">
        <v>0</v>
      </c>
      <c r="J12" s="7">
        <v>53</v>
      </c>
      <c r="K12" s="7">
        <v>21</v>
      </c>
      <c r="L12" s="7">
        <v>17</v>
      </c>
      <c r="M12" s="7">
        <v>6</v>
      </c>
      <c r="N12" s="7">
        <v>4</v>
      </c>
      <c r="O12" s="7">
        <v>0</v>
      </c>
      <c r="P12" s="7">
        <v>23</v>
      </c>
      <c r="Q12" s="22">
        <f t="shared" si="0"/>
        <v>0.32075471698113206</v>
      </c>
      <c r="R12" s="22">
        <f t="shared" si="1"/>
        <v>0.43396226415094341</v>
      </c>
      <c r="S12" s="22" t="e">
        <f t="shared" si="2"/>
        <v>#N/A</v>
      </c>
      <c r="T12" s="22" t="e">
        <f t="shared" si="5"/>
        <v>#N/A</v>
      </c>
      <c r="U12" s="22">
        <f t="shared" si="8"/>
        <v>0</v>
      </c>
      <c r="V12" s="23">
        <f t="shared" si="6"/>
        <v>0.23529411764705882</v>
      </c>
      <c r="W12" s="24">
        <f t="shared" si="7"/>
        <v>0</v>
      </c>
      <c r="X12" s="24">
        <f t="shared" si="3"/>
        <v>7.5471698113207544E-2</v>
      </c>
      <c r="Y12" s="23">
        <f t="shared" si="4"/>
        <v>1</v>
      </c>
    </row>
    <row r="13" spans="1:25">
      <c r="A13">
        <v>12</v>
      </c>
      <c r="B13" t="s">
        <v>697</v>
      </c>
      <c r="C13" t="s">
        <v>705</v>
      </c>
      <c r="D13" s="4">
        <v>45310.401956018519</v>
      </c>
      <c r="E13" s="10" t="s">
        <v>801</v>
      </c>
      <c r="F13" s="7">
        <v>143</v>
      </c>
      <c r="G13" s="7">
        <v>0</v>
      </c>
      <c r="H13" s="7">
        <v>0</v>
      </c>
      <c r="I13" s="7">
        <v>0</v>
      </c>
      <c r="J13" s="7">
        <v>143</v>
      </c>
      <c r="K13" s="7">
        <v>827</v>
      </c>
      <c r="L13" s="7">
        <v>75</v>
      </c>
      <c r="M13" s="7">
        <v>74</v>
      </c>
      <c r="N13" s="7">
        <v>27</v>
      </c>
      <c r="O13" s="7">
        <v>0</v>
      </c>
      <c r="P13" s="7">
        <v>133</v>
      </c>
      <c r="Q13" s="22">
        <f t="shared" si="0"/>
        <v>0.52447552447552448</v>
      </c>
      <c r="R13" s="22">
        <f t="shared" si="1"/>
        <v>0.93006993006993011</v>
      </c>
      <c r="S13" s="22" t="e">
        <f t="shared" si="2"/>
        <v>#N/A</v>
      </c>
      <c r="T13" s="22" t="e">
        <f t="shared" si="5"/>
        <v>#N/A</v>
      </c>
      <c r="U13" s="22">
        <f t="shared" si="8"/>
        <v>0</v>
      </c>
      <c r="V13" s="23">
        <f t="shared" si="6"/>
        <v>0.36</v>
      </c>
      <c r="W13" s="24">
        <f t="shared" si="7"/>
        <v>0</v>
      </c>
      <c r="X13" s="24">
        <f t="shared" si="3"/>
        <v>0.1888111888111888</v>
      </c>
      <c r="Y13" s="23">
        <f t="shared" si="4"/>
        <v>1</v>
      </c>
    </row>
    <row r="14" spans="1:25">
      <c r="A14">
        <v>13</v>
      </c>
      <c r="B14" t="s">
        <v>1051</v>
      </c>
      <c r="C14" t="s">
        <v>706</v>
      </c>
      <c r="D14" s="4">
        <v>45310.84097222222</v>
      </c>
      <c r="E14" s="10" t="s">
        <v>802</v>
      </c>
      <c r="F14" s="7">
        <v>10</v>
      </c>
      <c r="G14" s="7">
        <v>0</v>
      </c>
      <c r="H14" s="7">
        <v>0</v>
      </c>
      <c r="I14" s="7">
        <v>0</v>
      </c>
      <c r="J14" s="7">
        <v>10</v>
      </c>
      <c r="K14" s="7">
        <v>18</v>
      </c>
      <c r="L14" s="7">
        <v>6</v>
      </c>
      <c r="M14" s="7">
        <v>3</v>
      </c>
      <c r="N14" s="7">
        <v>3</v>
      </c>
      <c r="O14" s="7">
        <v>0</v>
      </c>
      <c r="P14" s="7">
        <v>1</v>
      </c>
      <c r="Q14" s="22">
        <f t="shared" si="0"/>
        <v>0.6</v>
      </c>
      <c r="R14" s="22">
        <f t="shared" si="1"/>
        <v>0.1</v>
      </c>
      <c r="S14" s="22" t="e">
        <f t="shared" si="2"/>
        <v>#N/A</v>
      </c>
      <c r="T14" s="22" t="e">
        <f t="shared" si="5"/>
        <v>#N/A</v>
      </c>
      <c r="U14" s="22">
        <f t="shared" si="8"/>
        <v>0</v>
      </c>
      <c r="V14" s="23">
        <f t="shared" si="6"/>
        <v>0.5</v>
      </c>
      <c r="W14" s="24">
        <f t="shared" si="7"/>
        <v>0</v>
      </c>
      <c r="X14" s="24">
        <f t="shared" si="3"/>
        <v>0.3</v>
      </c>
      <c r="Y14" s="23">
        <f t="shared" si="4"/>
        <v>1</v>
      </c>
    </row>
    <row r="15" spans="1:25">
      <c r="A15">
        <v>14</v>
      </c>
      <c r="B15" t="s">
        <v>1052</v>
      </c>
      <c r="C15" t="s">
        <v>707</v>
      </c>
      <c r="D15" s="4">
        <v>45311.75</v>
      </c>
      <c r="E15" s="10" t="s">
        <v>803</v>
      </c>
      <c r="F15" s="7">
        <v>148</v>
      </c>
      <c r="G15" s="7">
        <v>0</v>
      </c>
      <c r="H15" s="7">
        <v>0</v>
      </c>
      <c r="I15" s="7">
        <v>0</v>
      </c>
      <c r="J15" s="7">
        <v>148</v>
      </c>
      <c r="K15" s="7">
        <v>209</v>
      </c>
      <c r="L15" s="7">
        <v>88</v>
      </c>
      <c r="M15" s="7">
        <v>49</v>
      </c>
      <c r="N15" s="7">
        <v>38</v>
      </c>
      <c r="O15" s="7">
        <v>0</v>
      </c>
      <c r="P15" s="7">
        <v>92</v>
      </c>
      <c r="Q15" s="22">
        <f t="shared" si="0"/>
        <v>0.59459459459459463</v>
      </c>
      <c r="R15" s="22">
        <f t="shared" si="1"/>
        <v>0.6216216216216216</v>
      </c>
      <c r="S15" s="22" t="e">
        <f t="shared" si="2"/>
        <v>#N/A</v>
      </c>
      <c r="T15" s="22" t="e">
        <f t="shared" si="5"/>
        <v>#N/A</v>
      </c>
      <c r="U15" s="22">
        <f t="shared" si="8"/>
        <v>0</v>
      </c>
      <c r="V15" s="23">
        <f t="shared" si="6"/>
        <v>0.43181818181818182</v>
      </c>
      <c r="W15" s="24">
        <f t="shared" si="7"/>
        <v>0</v>
      </c>
      <c r="X15" s="24">
        <f t="shared" si="3"/>
        <v>0.25675675675675674</v>
      </c>
      <c r="Y15" s="23">
        <f t="shared" si="4"/>
        <v>1</v>
      </c>
    </row>
    <row r="16" spans="1:25">
      <c r="A16">
        <v>15</v>
      </c>
      <c r="B16" t="s">
        <v>1049</v>
      </c>
      <c r="C16" t="s">
        <v>605</v>
      </c>
      <c r="D16" s="4">
        <v>45315.887326388889</v>
      </c>
      <c r="E16" s="10" t="s">
        <v>804</v>
      </c>
      <c r="F16" s="7">
        <v>846</v>
      </c>
      <c r="G16" s="7">
        <v>1</v>
      </c>
      <c r="H16" s="7">
        <v>0</v>
      </c>
      <c r="I16" s="7">
        <v>1</v>
      </c>
      <c r="J16" s="7">
        <v>845</v>
      </c>
      <c r="K16" s="7">
        <v>1121</v>
      </c>
      <c r="L16" s="7">
        <v>493</v>
      </c>
      <c r="M16" s="7">
        <v>174</v>
      </c>
      <c r="N16" s="7">
        <v>117</v>
      </c>
      <c r="O16" s="7">
        <v>0</v>
      </c>
      <c r="P16" s="7">
        <v>303</v>
      </c>
      <c r="Q16" s="22">
        <f t="shared" si="0"/>
        <v>0.58343195266272185</v>
      </c>
      <c r="R16" s="22">
        <f t="shared" si="1"/>
        <v>0.35857988165680471</v>
      </c>
      <c r="S16" s="22" t="e">
        <f t="shared" si="2"/>
        <v>#N/A</v>
      </c>
      <c r="T16" s="22" t="e">
        <f t="shared" si="5"/>
        <v>#N/A</v>
      </c>
      <c r="U16" s="22">
        <f t="shared" si="8"/>
        <v>0</v>
      </c>
      <c r="V16" s="23">
        <f t="shared" si="6"/>
        <v>0.23732251521298176</v>
      </c>
      <c r="W16" s="24">
        <f t="shared" si="7"/>
        <v>1.1820330969267139E-3</v>
      </c>
      <c r="X16" s="24">
        <f t="shared" si="3"/>
        <v>0.13846153846153847</v>
      </c>
      <c r="Y16" s="23">
        <f t="shared" si="4"/>
        <v>0.99881796690307334</v>
      </c>
    </row>
    <row r="17" spans="1:25">
      <c r="A17">
        <v>16</v>
      </c>
      <c r="B17" t="s">
        <v>1051</v>
      </c>
      <c r="C17" t="s">
        <v>604</v>
      </c>
      <c r="D17" s="4">
        <v>45316.684027777781</v>
      </c>
      <c r="E17" s="10" t="s">
        <v>794</v>
      </c>
      <c r="F17" s="7">
        <v>1023</v>
      </c>
      <c r="G17" s="7">
        <v>0</v>
      </c>
      <c r="H17" s="7">
        <v>0</v>
      </c>
      <c r="I17" s="7">
        <v>0</v>
      </c>
      <c r="J17" s="7">
        <v>1023</v>
      </c>
      <c r="K17" s="7">
        <v>784</v>
      </c>
      <c r="L17" s="7">
        <v>464</v>
      </c>
      <c r="M17" s="7">
        <v>36</v>
      </c>
      <c r="N17" s="7">
        <v>25</v>
      </c>
      <c r="O17" s="7">
        <v>0</v>
      </c>
      <c r="P17" s="7">
        <v>380</v>
      </c>
      <c r="Q17" s="22">
        <f t="shared" si="0"/>
        <v>0.45356793743890517</v>
      </c>
      <c r="R17" s="22">
        <f t="shared" si="1"/>
        <v>0.37145650048875856</v>
      </c>
      <c r="S17" s="22" t="e">
        <f t="shared" si="2"/>
        <v>#N/A</v>
      </c>
      <c r="T17" s="22" t="e">
        <f t="shared" si="5"/>
        <v>#N/A</v>
      </c>
      <c r="U17" s="22">
        <f t="shared" si="8"/>
        <v>0</v>
      </c>
      <c r="V17" s="23">
        <f t="shared" si="6"/>
        <v>5.3879310344827583E-2</v>
      </c>
      <c r="W17" s="24">
        <f t="shared" si="7"/>
        <v>0</v>
      </c>
      <c r="X17" s="24">
        <f t="shared" si="3"/>
        <v>2.4437927663734114E-2</v>
      </c>
      <c r="Y17" s="23">
        <f t="shared" si="4"/>
        <v>1</v>
      </c>
    </row>
    <row r="18" spans="1:25">
      <c r="A18">
        <v>17</v>
      </c>
      <c r="B18" t="s">
        <v>1051</v>
      </c>
      <c r="C18" t="s">
        <v>708</v>
      </c>
      <c r="D18" s="4">
        <v>45316.791666666664</v>
      </c>
      <c r="E18" s="10" t="s">
        <v>805</v>
      </c>
      <c r="F18" s="7">
        <v>91</v>
      </c>
      <c r="G18" s="7">
        <v>0</v>
      </c>
      <c r="H18" s="7">
        <v>0</v>
      </c>
      <c r="I18" s="7">
        <v>0</v>
      </c>
      <c r="J18" s="7">
        <v>91</v>
      </c>
      <c r="K18" s="7">
        <v>94</v>
      </c>
      <c r="L18" s="7">
        <v>55</v>
      </c>
      <c r="M18" s="7">
        <v>33</v>
      </c>
      <c r="N18" s="7">
        <v>24</v>
      </c>
      <c r="O18" s="7">
        <v>0</v>
      </c>
      <c r="P18" s="7">
        <v>45</v>
      </c>
      <c r="Q18" s="22">
        <f t="shared" si="0"/>
        <v>0.60439560439560436</v>
      </c>
      <c r="R18" s="22">
        <f t="shared" si="1"/>
        <v>0.49450549450549453</v>
      </c>
      <c r="S18" s="22" t="e">
        <f t="shared" si="2"/>
        <v>#N/A</v>
      </c>
      <c r="T18" s="22" t="e">
        <f t="shared" si="5"/>
        <v>#N/A</v>
      </c>
      <c r="U18" s="22">
        <f t="shared" si="8"/>
        <v>0</v>
      </c>
      <c r="V18" s="23">
        <f t="shared" si="6"/>
        <v>0.43636363636363634</v>
      </c>
      <c r="W18" s="24">
        <f t="shared" si="7"/>
        <v>0</v>
      </c>
      <c r="X18" s="24">
        <f t="shared" si="3"/>
        <v>0.26373626373626374</v>
      </c>
      <c r="Y18" s="23">
        <f t="shared" si="4"/>
        <v>1</v>
      </c>
    </row>
    <row r="19" spans="1:25">
      <c r="A19">
        <v>18</v>
      </c>
      <c r="B19" t="s">
        <v>1051</v>
      </c>
      <c r="C19" t="s">
        <v>709</v>
      </c>
      <c r="D19" s="4">
        <v>45317.670138888891</v>
      </c>
      <c r="E19" s="10" t="s">
        <v>806</v>
      </c>
      <c r="F19" s="7">
        <v>168</v>
      </c>
      <c r="G19" s="7">
        <v>1</v>
      </c>
      <c r="H19" s="7">
        <v>0</v>
      </c>
      <c r="I19" s="7">
        <v>1</v>
      </c>
      <c r="J19" s="7">
        <v>167</v>
      </c>
      <c r="K19" s="7">
        <v>257</v>
      </c>
      <c r="L19" s="7">
        <v>105</v>
      </c>
      <c r="M19" s="7">
        <v>24</v>
      </c>
      <c r="N19" s="7">
        <v>19</v>
      </c>
      <c r="O19" s="7">
        <v>0</v>
      </c>
      <c r="P19" s="7">
        <v>112</v>
      </c>
      <c r="Q19" s="22">
        <f t="shared" si="0"/>
        <v>0.62874251497005984</v>
      </c>
      <c r="R19" s="22">
        <f t="shared" si="1"/>
        <v>0.6706586826347305</v>
      </c>
      <c r="S19" s="22" t="e">
        <f t="shared" si="2"/>
        <v>#N/A</v>
      </c>
      <c r="T19" s="22" t="e">
        <f t="shared" si="5"/>
        <v>#N/A</v>
      </c>
      <c r="U19" s="22">
        <f t="shared" si="8"/>
        <v>0</v>
      </c>
      <c r="V19" s="23">
        <f t="shared" si="6"/>
        <v>0.18095238095238095</v>
      </c>
      <c r="W19" s="24">
        <f t="shared" si="7"/>
        <v>5.9523809523809521E-3</v>
      </c>
      <c r="X19" s="24">
        <f t="shared" si="3"/>
        <v>0.11377245508982035</v>
      </c>
      <c r="Y19" s="23">
        <f t="shared" si="4"/>
        <v>0.99404761904761907</v>
      </c>
    </row>
    <row r="20" spans="1:25">
      <c r="A20">
        <v>19</v>
      </c>
      <c r="B20" t="s">
        <v>1051</v>
      </c>
      <c r="C20" t="s">
        <v>710</v>
      </c>
      <c r="D20" s="4">
        <v>45318.625</v>
      </c>
      <c r="E20" s="10" t="s">
        <v>791</v>
      </c>
      <c r="F20" s="7">
        <v>57</v>
      </c>
      <c r="G20" s="7">
        <v>0</v>
      </c>
      <c r="H20" s="7">
        <v>0</v>
      </c>
      <c r="I20" s="7">
        <v>0</v>
      </c>
      <c r="J20" s="7">
        <v>57</v>
      </c>
      <c r="K20" s="7">
        <v>52</v>
      </c>
      <c r="L20" s="7">
        <v>33</v>
      </c>
      <c r="M20" s="7">
        <v>0</v>
      </c>
      <c r="N20" s="7">
        <v>0</v>
      </c>
      <c r="O20" s="7">
        <v>0</v>
      </c>
      <c r="P20" s="7">
        <v>13</v>
      </c>
      <c r="Q20" s="22">
        <f t="shared" si="0"/>
        <v>0.57894736842105265</v>
      </c>
      <c r="R20" s="22">
        <f t="shared" si="1"/>
        <v>0.22807017543859648</v>
      </c>
      <c r="S20" s="22" t="e">
        <f t="shared" si="2"/>
        <v>#N/A</v>
      </c>
      <c r="T20" s="22" t="e">
        <f t="shared" si="5"/>
        <v>#N/A</v>
      </c>
      <c r="U20" s="22">
        <f t="shared" si="8"/>
        <v>0</v>
      </c>
      <c r="V20" s="23">
        <f t="shared" si="6"/>
        <v>0</v>
      </c>
      <c r="W20" s="24">
        <f t="shared" si="7"/>
        <v>0</v>
      </c>
      <c r="X20" s="24">
        <f t="shared" si="3"/>
        <v>0</v>
      </c>
      <c r="Y20" s="23">
        <f t="shared" si="4"/>
        <v>1</v>
      </c>
    </row>
    <row r="21" spans="1:25">
      <c r="A21">
        <v>20</v>
      </c>
      <c r="B21" t="s">
        <v>1052</v>
      </c>
      <c r="C21" t="s">
        <v>573</v>
      </c>
      <c r="D21" s="4">
        <v>45325.875</v>
      </c>
      <c r="E21" s="10" t="s">
        <v>807</v>
      </c>
      <c r="F21" s="7">
        <v>450</v>
      </c>
      <c r="G21" s="7">
        <v>1</v>
      </c>
      <c r="H21" s="7">
        <v>0</v>
      </c>
      <c r="I21" s="7">
        <v>1</v>
      </c>
      <c r="J21" s="7">
        <v>449</v>
      </c>
      <c r="K21" s="7">
        <v>306</v>
      </c>
      <c r="L21" s="7">
        <v>189</v>
      </c>
      <c r="M21" s="7">
        <v>106</v>
      </c>
      <c r="N21" s="7">
        <v>14</v>
      </c>
      <c r="O21" s="7">
        <v>1</v>
      </c>
      <c r="P21" s="7">
        <v>107</v>
      </c>
      <c r="Q21" s="22">
        <f t="shared" si="0"/>
        <v>0.42093541202672607</v>
      </c>
      <c r="R21" s="22">
        <f t="shared" si="1"/>
        <v>0.23830734966592429</v>
      </c>
      <c r="S21" s="22" t="e">
        <f t="shared" si="2"/>
        <v>#N/A</v>
      </c>
      <c r="T21" s="22" t="e">
        <f t="shared" si="5"/>
        <v>#N/A</v>
      </c>
      <c r="U21" s="22">
        <f t="shared" si="8"/>
        <v>2.2271714922048997E-3</v>
      </c>
      <c r="V21" s="23">
        <f t="shared" si="6"/>
        <v>7.407407407407407E-2</v>
      </c>
      <c r="W21" s="24">
        <f t="shared" si="7"/>
        <v>2.2222222222222222E-3</v>
      </c>
      <c r="X21" s="24">
        <f t="shared" si="3"/>
        <v>3.1180400890868598E-2</v>
      </c>
      <c r="Y21" s="23">
        <f t="shared" si="4"/>
        <v>0.99777777777777776</v>
      </c>
    </row>
    <row r="22" spans="1:25">
      <c r="A22">
        <v>21</v>
      </c>
      <c r="B22" t="s">
        <v>962</v>
      </c>
      <c r="C22" t="s">
        <v>711</v>
      </c>
      <c r="D22" s="4">
        <v>45332.680555555555</v>
      </c>
      <c r="E22" s="10" t="s">
        <v>808</v>
      </c>
      <c r="F22" s="7">
        <v>903</v>
      </c>
      <c r="G22" s="7">
        <v>7</v>
      </c>
      <c r="H22" s="7">
        <v>1</v>
      </c>
      <c r="I22" s="7">
        <v>6</v>
      </c>
      <c r="J22" s="7">
        <v>896</v>
      </c>
      <c r="K22" s="7">
        <v>1287</v>
      </c>
      <c r="L22" s="7">
        <v>436</v>
      </c>
      <c r="M22" s="7">
        <v>393</v>
      </c>
      <c r="N22" s="7">
        <v>180</v>
      </c>
      <c r="O22" s="7">
        <v>0</v>
      </c>
      <c r="P22" s="7">
        <v>74</v>
      </c>
      <c r="Q22" s="22">
        <f t="shared" si="0"/>
        <v>0.48660714285714285</v>
      </c>
      <c r="R22" s="22">
        <f t="shared" si="1"/>
        <v>8.2589285714285712E-2</v>
      </c>
      <c r="S22" s="22" t="e">
        <f t="shared" si="2"/>
        <v>#N/A</v>
      </c>
      <c r="T22" s="22" t="e">
        <f t="shared" si="5"/>
        <v>#N/A</v>
      </c>
      <c r="U22" s="22">
        <f t="shared" si="8"/>
        <v>0</v>
      </c>
      <c r="V22" s="23">
        <f t="shared" si="6"/>
        <v>0.41284403669724773</v>
      </c>
      <c r="W22" s="24">
        <f t="shared" si="7"/>
        <v>7.7519379844961239E-3</v>
      </c>
      <c r="X22" s="24">
        <f t="shared" si="3"/>
        <v>0.20089285714285715</v>
      </c>
      <c r="Y22" s="23">
        <f t="shared" si="4"/>
        <v>0.99224806201550386</v>
      </c>
    </row>
    <row r="23" spans="1:25">
      <c r="A23">
        <v>22</v>
      </c>
      <c r="B23" t="s">
        <v>1052</v>
      </c>
      <c r="C23" t="s">
        <v>571</v>
      </c>
      <c r="D23" s="4">
        <v>45339.637499999997</v>
      </c>
      <c r="E23" s="10" t="s">
        <v>809</v>
      </c>
      <c r="F23" s="7">
        <v>72</v>
      </c>
      <c r="G23" s="7">
        <v>0</v>
      </c>
      <c r="H23" s="7">
        <v>0</v>
      </c>
      <c r="I23" s="7">
        <v>0</v>
      </c>
      <c r="J23" s="7">
        <v>72</v>
      </c>
      <c r="K23" s="7">
        <v>49</v>
      </c>
      <c r="L23" s="7">
        <v>34</v>
      </c>
      <c r="M23" s="7">
        <v>39</v>
      </c>
      <c r="N23" s="7">
        <v>4</v>
      </c>
      <c r="O23" s="7">
        <v>0</v>
      </c>
      <c r="P23" s="7">
        <v>12</v>
      </c>
      <c r="Q23" s="22">
        <f t="shared" si="0"/>
        <v>0.47222222222222221</v>
      </c>
      <c r="R23" s="22">
        <f t="shared" si="1"/>
        <v>0.16666666666666666</v>
      </c>
      <c r="S23" s="22" t="e">
        <f t="shared" si="2"/>
        <v>#N/A</v>
      </c>
      <c r="T23" s="22" t="e">
        <f t="shared" si="5"/>
        <v>#N/A</v>
      </c>
      <c r="U23" s="22">
        <f t="shared" si="8"/>
        <v>0</v>
      </c>
      <c r="V23" s="23">
        <f t="shared" si="6"/>
        <v>0.11764705882352941</v>
      </c>
      <c r="W23" s="24">
        <f t="shared" si="7"/>
        <v>0</v>
      </c>
      <c r="X23" s="24">
        <f t="shared" si="3"/>
        <v>5.5555555555555552E-2</v>
      </c>
      <c r="Y23" s="23">
        <f t="shared" si="4"/>
        <v>1</v>
      </c>
    </row>
    <row r="24" spans="1:25">
      <c r="A24">
        <v>23</v>
      </c>
      <c r="B24" t="s">
        <v>1052</v>
      </c>
      <c r="C24" t="s">
        <v>572</v>
      </c>
      <c r="D24" s="4">
        <v>45339.637499999997</v>
      </c>
      <c r="E24" s="10" t="s">
        <v>809</v>
      </c>
      <c r="F24" s="7">
        <v>72</v>
      </c>
      <c r="G24" s="7">
        <v>0</v>
      </c>
      <c r="H24" s="7">
        <v>0</v>
      </c>
      <c r="I24" s="7">
        <v>0</v>
      </c>
      <c r="J24" s="7">
        <v>72</v>
      </c>
      <c r="K24" s="7">
        <v>49</v>
      </c>
      <c r="L24" s="7">
        <v>30</v>
      </c>
      <c r="M24" s="7">
        <v>4</v>
      </c>
      <c r="N24" s="7">
        <v>3</v>
      </c>
      <c r="O24" s="7">
        <v>0</v>
      </c>
      <c r="P24" s="7">
        <v>12</v>
      </c>
      <c r="Q24" s="22">
        <f t="shared" si="0"/>
        <v>0.41666666666666669</v>
      </c>
      <c r="R24" s="22">
        <f t="shared" si="1"/>
        <v>0.16666666666666666</v>
      </c>
      <c r="S24" s="22" t="e">
        <f t="shared" si="2"/>
        <v>#N/A</v>
      </c>
      <c r="T24" s="22" t="e">
        <f t="shared" si="5"/>
        <v>#N/A</v>
      </c>
      <c r="U24" s="22">
        <f t="shared" si="8"/>
        <v>0</v>
      </c>
      <c r="V24" s="23">
        <f t="shared" si="6"/>
        <v>0.1</v>
      </c>
      <c r="W24" s="24">
        <f t="shared" si="7"/>
        <v>0</v>
      </c>
      <c r="X24" s="24">
        <f t="shared" si="3"/>
        <v>4.1666666666666664E-2</v>
      </c>
      <c r="Y24" s="23">
        <f t="shared" si="4"/>
        <v>1</v>
      </c>
    </row>
    <row r="25" spans="1:25">
      <c r="A25">
        <v>24</v>
      </c>
      <c r="B25" t="s">
        <v>1050</v>
      </c>
      <c r="C25" t="s">
        <v>712</v>
      </c>
      <c r="D25" s="4">
        <v>45339.6875</v>
      </c>
      <c r="E25" s="10" t="s">
        <v>799</v>
      </c>
      <c r="F25" s="7">
        <v>7740</v>
      </c>
      <c r="G25" s="7">
        <v>97</v>
      </c>
      <c r="H25" s="7">
        <v>21</v>
      </c>
      <c r="I25" s="7">
        <v>76</v>
      </c>
      <c r="J25" s="7">
        <v>7643</v>
      </c>
      <c r="K25" s="7">
        <v>2361</v>
      </c>
      <c r="L25" s="7">
        <v>1756</v>
      </c>
      <c r="M25" s="7">
        <v>3155</v>
      </c>
      <c r="N25" s="7">
        <v>156</v>
      </c>
      <c r="O25" s="7">
        <v>14</v>
      </c>
      <c r="P25" s="7">
        <v>5500</v>
      </c>
      <c r="Q25" s="22">
        <f t="shared" si="0"/>
        <v>0.22975271490252519</v>
      </c>
      <c r="R25" s="22">
        <f t="shared" si="1"/>
        <v>0.71961271751929867</v>
      </c>
      <c r="S25" s="22" t="e">
        <f t="shared" si="2"/>
        <v>#N/A</v>
      </c>
      <c r="T25" s="22" t="e">
        <f t="shared" si="5"/>
        <v>#N/A</v>
      </c>
      <c r="U25" s="22">
        <f t="shared" si="8"/>
        <v>1.8317414627763966E-3</v>
      </c>
      <c r="V25" s="23">
        <f t="shared" si="6"/>
        <v>8.8838268792710701E-2</v>
      </c>
      <c r="W25" s="24">
        <f t="shared" si="7"/>
        <v>1.2532299741602066E-2</v>
      </c>
      <c r="X25" s="24">
        <f t="shared" si="3"/>
        <v>2.0410833442365564E-2</v>
      </c>
      <c r="Y25" s="23">
        <f t="shared" si="4"/>
        <v>0.98746770025839792</v>
      </c>
    </row>
    <row r="26" spans="1:25">
      <c r="A26">
        <v>25</v>
      </c>
      <c r="B26" t="s">
        <v>1052</v>
      </c>
      <c r="C26" t="s">
        <v>571</v>
      </c>
      <c r="D26" s="4">
        <v>45339.763761574075</v>
      </c>
      <c r="E26" s="10" t="s">
        <v>810</v>
      </c>
      <c r="F26" s="7">
        <v>431</v>
      </c>
      <c r="G26" s="7">
        <v>1</v>
      </c>
      <c r="H26" s="7">
        <v>0</v>
      </c>
      <c r="I26" s="7">
        <v>1</v>
      </c>
      <c r="J26" s="7">
        <v>430</v>
      </c>
      <c r="K26" s="7">
        <v>290</v>
      </c>
      <c r="L26" s="7">
        <v>187</v>
      </c>
      <c r="M26" s="7">
        <v>97</v>
      </c>
      <c r="N26" s="7">
        <v>17</v>
      </c>
      <c r="O26" s="7">
        <v>0</v>
      </c>
      <c r="P26" s="7">
        <v>88</v>
      </c>
      <c r="Q26" s="22">
        <f t="shared" si="0"/>
        <v>0.43488372093023253</v>
      </c>
      <c r="R26" s="22">
        <f t="shared" si="1"/>
        <v>0.20465116279069767</v>
      </c>
      <c r="S26" s="22" t="e">
        <f t="shared" si="2"/>
        <v>#N/A</v>
      </c>
      <c r="T26" s="22" t="e">
        <f t="shared" si="5"/>
        <v>#N/A</v>
      </c>
      <c r="U26" s="22">
        <f t="shared" si="8"/>
        <v>0</v>
      </c>
      <c r="V26" s="23">
        <f t="shared" si="6"/>
        <v>9.0909090909090912E-2</v>
      </c>
      <c r="W26" s="24">
        <f t="shared" si="7"/>
        <v>2.3201856148491878E-3</v>
      </c>
      <c r="X26" s="24">
        <f t="shared" si="3"/>
        <v>3.9534883720930232E-2</v>
      </c>
      <c r="Y26" s="23">
        <f t="shared" si="4"/>
        <v>0.99767981438515085</v>
      </c>
    </row>
    <row r="27" spans="1:25">
      <c r="A27">
        <v>26</v>
      </c>
      <c r="B27" t="s">
        <v>1050</v>
      </c>
      <c r="C27" t="s">
        <v>688</v>
      </c>
      <c r="D27" s="4">
        <v>45354.770833333336</v>
      </c>
      <c r="E27" s="10" t="s">
        <v>811</v>
      </c>
      <c r="F27" s="7">
        <v>7653</v>
      </c>
      <c r="G27" s="7">
        <v>45</v>
      </c>
      <c r="H27" s="7">
        <v>19</v>
      </c>
      <c r="I27" s="7">
        <v>26</v>
      </c>
      <c r="J27" s="7">
        <v>7608</v>
      </c>
      <c r="K27" s="7">
        <v>2717</v>
      </c>
      <c r="L27" s="7">
        <v>1957</v>
      </c>
      <c r="M27" s="7">
        <v>3357</v>
      </c>
      <c r="N27" s="7">
        <v>227</v>
      </c>
      <c r="O27" s="7">
        <v>12</v>
      </c>
      <c r="P27" s="7">
        <v>2675</v>
      </c>
      <c r="Q27" s="22">
        <f t="shared" si="0"/>
        <v>0.2572292323869611</v>
      </c>
      <c r="R27" s="22">
        <f t="shared" si="1"/>
        <v>0.3516035751840168</v>
      </c>
      <c r="S27" s="22" t="e">
        <f t="shared" si="2"/>
        <v>#N/A</v>
      </c>
      <c r="T27" s="22" t="e">
        <f t="shared" si="5"/>
        <v>#N/A</v>
      </c>
      <c r="U27" s="22">
        <f t="shared" si="8"/>
        <v>1.5772870662460567E-3</v>
      </c>
      <c r="V27" s="23">
        <f t="shared" si="6"/>
        <v>0.11599386816555952</v>
      </c>
      <c r="W27" s="24">
        <f t="shared" si="7"/>
        <v>5.8800470403763232E-3</v>
      </c>
      <c r="X27" s="24">
        <f t="shared" si="3"/>
        <v>2.9837013669821239E-2</v>
      </c>
      <c r="Y27" s="23">
        <f t="shared" si="4"/>
        <v>0.99411995295962363</v>
      </c>
    </row>
    <row r="28" spans="1:25">
      <c r="A28">
        <v>27</v>
      </c>
      <c r="B28" t="s">
        <v>1052</v>
      </c>
      <c r="C28" t="s">
        <v>570</v>
      </c>
      <c r="D28" s="4">
        <v>45361.75</v>
      </c>
      <c r="E28" s="10" t="s">
        <v>803</v>
      </c>
      <c r="F28" s="7">
        <v>617</v>
      </c>
      <c r="G28" s="7">
        <v>1</v>
      </c>
      <c r="H28" s="7">
        <v>0</v>
      </c>
      <c r="I28" s="7">
        <v>1</v>
      </c>
      <c r="J28" s="7">
        <v>616</v>
      </c>
      <c r="K28" s="7">
        <v>374</v>
      </c>
      <c r="L28" s="7">
        <v>244</v>
      </c>
      <c r="M28" s="7">
        <v>202</v>
      </c>
      <c r="N28" s="7">
        <v>28</v>
      </c>
      <c r="O28" s="7">
        <v>2</v>
      </c>
      <c r="P28" s="7">
        <v>174</v>
      </c>
      <c r="Q28" s="22">
        <f t="shared" si="0"/>
        <v>0.39610389610389612</v>
      </c>
      <c r="R28" s="22">
        <f t="shared" si="1"/>
        <v>0.28246753246753248</v>
      </c>
      <c r="S28" s="22" t="e">
        <f t="shared" si="2"/>
        <v>#N/A</v>
      </c>
      <c r="T28" s="22" t="e">
        <f t="shared" si="5"/>
        <v>#N/A</v>
      </c>
      <c r="U28" s="22">
        <f t="shared" si="8"/>
        <v>3.246753246753247E-3</v>
      </c>
      <c r="V28" s="23">
        <f t="shared" si="6"/>
        <v>0.11475409836065574</v>
      </c>
      <c r="W28" s="24">
        <f t="shared" si="7"/>
        <v>1.6207455429497568E-3</v>
      </c>
      <c r="X28" s="24">
        <f t="shared" si="3"/>
        <v>4.5454545454545456E-2</v>
      </c>
      <c r="Y28" s="23">
        <f t="shared" si="4"/>
        <v>0.99837925445705022</v>
      </c>
    </row>
    <row r="29" spans="1:25">
      <c r="A29">
        <v>28</v>
      </c>
      <c r="B29" t="s">
        <v>1053</v>
      </c>
      <c r="C29" t="s">
        <v>689</v>
      </c>
      <c r="D29" s="4">
        <v>45365.666666666664</v>
      </c>
      <c r="E29" s="10" t="s">
        <v>797</v>
      </c>
      <c r="F29" s="7">
        <v>4063</v>
      </c>
      <c r="G29" s="7">
        <v>49</v>
      </c>
      <c r="H29" s="7">
        <v>7</v>
      </c>
      <c r="I29" s="7">
        <v>42</v>
      </c>
      <c r="J29" s="7">
        <v>4014</v>
      </c>
      <c r="K29" s="7">
        <v>2054</v>
      </c>
      <c r="L29" s="7">
        <v>1227</v>
      </c>
      <c r="M29" s="7">
        <v>565</v>
      </c>
      <c r="N29" s="7">
        <v>165</v>
      </c>
      <c r="O29" s="7">
        <v>8</v>
      </c>
      <c r="P29" s="7">
        <v>2001</v>
      </c>
      <c r="Q29" s="22">
        <f t="shared" si="0"/>
        <v>0.30568011958146485</v>
      </c>
      <c r="R29" s="22">
        <f t="shared" si="1"/>
        <v>0.49850523168908817</v>
      </c>
      <c r="S29" s="22" t="e">
        <f t="shared" si="2"/>
        <v>#N/A</v>
      </c>
      <c r="T29" s="22" t="e">
        <f t="shared" si="5"/>
        <v>#N/A</v>
      </c>
      <c r="U29" s="22">
        <f t="shared" si="8"/>
        <v>1.9930244145490781E-3</v>
      </c>
      <c r="V29" s="23">
        <f t="shared" si="6"/>
        <v>0.13447432762836187</v>
      </c>
      <c r="W29" s="24">
        <f t="shared" si="7"/>
        <v>1.2060054147181885E-2</v>
      </c>
      <c r="X29" s="24">
        <f t="shared" si="3"/>
        <v>4.1106128550074741E-2</v>
      </c>
      <c r="Y29" s="23">
        <f t="shared" si="4"/>
        <v>0.98793994585281808</v>
      </c>
    </row>
    <row r="30" spans="1:25">
      <c r="A30">
        <v>29</v>
      </c>
      <c r="B30" t="s">
        <v>1050</v>
      </c>
      <c r="C30" t="s">
        <v>658</v>
      </c>
      <c r="D30" s="4">
        <v>45368.708333333336</v>
      </c>
      <c r="E30" s="10" t="s">
        <v>812</v>
      </c>
      <c r="F30" s="7">
        <v>7639</v>
      </c>
      <c r="G30" s="7">
        <v>29</v>
      </c>
      <c r="H30" s="7">
        <v>19</v>
      </c>
      <c r="I30" s="7">
        <v>10</v>
      </c>
      <c r="J30" s="7">
        <v>7610</v>
      </c>
      <c r="K30" s="7">
        <v>2460</v>
      </c>
      <c r="L30" s="7">
        <v>1804</v>
      </c>
      <c r="M30" s="7">
        <v>264</v>
      </c>
      <c r="N30" s="7">
        <v>88</v>
      </c>
      <c r="O30" s="7">
        <v>5</v>
      </c>
      <c r="P30" s="7">
        <v>3367</v>
      </c>
      <c r="Q30" s="22">
        <f t="shared" si="0"/>
        <v>0.23705650459921157</v>
      </c>
      <c r="R30" s="22">
        <f t="shared" si="1"/>
        <v>0.44244415243101182</v>
      </c>
      <c r="S30" s="22" t="e">
        <f t="shared" si="2"/>
        <v>#N/A</v>
      </c>
      <c r="T30" s="22" t="e">
        <f t="shared" si="5"/>
        <v>#N/A</v>
      </c>
      <c r="U30" s="22">
        <f t="shared" si="8"/>
        <v>6.5703022339027597E-4</v>
      </c>
      <c r="V30" s="23">
        <f t="shared" si="6"/>
        <v>4.878048780487805E-2</v>
      </c>
      <c r="W30" s="24">
        <f t="shared" si="7"/>
        <v>3.7963084173321116E-3</v>
      </c>
      <c r="X30" s="24">
        <f t="shared" si="3"/>
        <v>1.1563731931668857E-2</v>
      </c>
      <c r="Y30" s="23">
        <f t="shared" si="4"/>
        <v>0.99620369158266786</v>
      </c>
    </row>
    <row r="31" spans="1:25">
      <c r="A31">
        <v>30</v>
      </c>
      <c r="B31" t="s">
        <v>1052</v>
      </c>
      <c r="C31" t="s">
        <v>569</v>
      </c>
      <c r="D31" s="4">
        <v>45379.666666666664</v>
      </c>
      <c r="E31" s="10" t="s">
        <v>791</v>
      </c>
      <c r="F31" s="7">
        <v>619</v>
      </c>
      <c r="G31" s="7">
        <v>3</v>
      </c>
      <c r="H31" s="7">
        <v>0</v>
      </c>
      <c r="I31" s="7">
        <v>3</v>
      </c>
      <c r="J31" s="7">
        <v>616</v>
      </c>
      <c r="K31" s="7">
        <v>402</v>
      </c>
      <c r="L31" s="7">
        <v>259</v>
      </c>
      <c r="M31" s="7">
        <v>186</v>
      </c>
      <c r="N31" s="7">
        <v>39</v>
      </c>
      <c r="O31" s="7">
        <v>1</v>
      </c>
      <c r="P31" s="7">
        <v>176</v>
      </c>
      <c r="Q31" s="22">
        <f t="shared" si="0"/>
        <v>0.42045454545454547</v>
      </c>
      <c r="R31" s="22">
        <f t="shared" si="1"/>
        <v>0.2857142857142857</v>
      </c>
      <c r="S31" s="22" t="e">
        <f t="shared" si="2"/>
        <v>#N/A</v>
      </c>
      <c r="T31" s="22" t="e">
        <f t="shared" si="5"/>
        <v>#N/A</v>
      </c>
      <c r="U31" s="22">
        <f t="shared" si="8"/>
        <v>1.6233766233766235E-3</v>
      </c>
      <c r="V31" s="23">
        <f t="shared" si="6"/>
        <v>0.15057915057915058</v>
      </c>
      <c r="W31" s="24">
        <f t="shared" si="7"/>
        <v>4.8465266558966073E-3</v>
      </c>
      <c r="X31" s="24">
        <f t="shared" si="3"/>
        <v>6.3311688311688305E-2</v>
      </c>
      <c r="Y31" s="23">
        <f t="shared" si="4"/>
        <v>0.99515347334410342</v>
      </c>
    </row>
    <row r="32" spans="1:25">
      <c r="A32">
        <v>31</v>
      </c>
      <c r="B32" t="s">
        <v>1053</v>
      </c>
      <c r="C32" t="s">
        <v>646</v>
      </c>
      <c r="D32" s="4">
        <v>45381.666666666664</v>
      </c>
      <c r="E32" s="10" t="s">
        <v>791</v>
      </c>
      <c r="F32" s="7">
        <v>4003</v>
      </c>
      <c r="G32" s="7">
        <v>18</v>
      </c>
      <c r="H32" s="7">
        <v>6</v>
      </c>
      <c r="I32" s="7">
        <v>12</v>
      </c>
      <c r="J32" s="7">
        <v>3985</v>
      </c>
      <c r="K32" s="7">
        <v>1904</v>
      </c>
      <c r="L32" s="7">
        <v>1157</v>
      </c>
      <c r="M32" s="7">
        <v>410</v>
      </c>
      <c r="N32" s="7">
        <v>108</v>
      </c>
      <c r="O32" s="7">
        <v>8</v>
      </c>
      <c r="P32" s="7">
        <v>2056</v>
      </c>
      <c r="Q32" s="22">
        <f t="shared" si="0"/>
        <v>0.29033877038895861</v>
      </c>
      <c r="R32" s="22">
        <f t="shared" si="1"/>
        <v>0.51593475533249689</v>
      </c>
      <c r="S32" s="22" t="e">
        <f t="shared" si="2"/>
        <v>#N/A</v>
      </c>
      <c r="T32" s="22" t="e">
        <f t="shared" si="5"/>
        <v>#N/A</v>
      </c>
      <c r="U32" s="22">
        <f t="shared" si="8"/>
        <v>2.0075282308657464E-3</v>
      </c>
      <c r="V32" s="23">
        <f t="shared" si="6"/>
        <v>9.3344857389801209E-2</v>
      </c>
      <c r="W32" s="24">
        <f t="shared" si="7"/>
        <v>4.4966275293529855E-3</v>
      </c>
      <c r="X32" s="24">
        <f t="shared" si="3"/>
        <v>2.7101631116687577E-2</v>
      </c>
      <c r="Y32" s="23">
        <f t="shared" si="4"/>
        <v>0.99550337247064702</v>
      </c>
    </row>
    <row r="33" spans="1:25">
      <c r="A33">
        <v>32</v>
      </c>
      <c r="B33" t="s">
        <v>1050</v>
      </c>
      <c r="C33" t="s">
        <v>713</v>
      </c>
      <c r="D33" s="4">
        <v>45382.666666666664</v>
      </c>
      <c r="E33" s="10" t="s">
        <v>791</v>
      </c>
      <c r="F33" s="7">
        <v>7614</v>
      </c>
      <c r="G33" s="7">
        <v>37</v>
      </c>
      <c r="H33" s="7">
        <v>15</v>
      </c>
      <c r="I33" s="7">
        <v>22</v>
      </c>
      <c r="J33" s="7">
        <v>7577</v>
      </c>
      <c r="K33" s="7">
        <v>2329</v>
      </c>
      <c r="L33" s="7">
        <v>1748</v>
      </c>
      <c r="M33" s="7">
        <v>2944</v>
      </c>
      <c r="N33" s="7">
        <v>148</v>
      </c>
      <c r="O33" s="7">
        <v>5</v>
      </c>
      <c r="P33" s="7">
        <v>1256</v>
      </c>
      <c r="Q33" s="22">
        <f t="shared" si="0"/>
        <v>0.23069816550085787</v>
      </c>
      <c r="R33" s="22">
        <f t="shared" si="1"/>
        <v>0.16576481457041045</v>
      </c>
      <c r="S33" s="22" t="e">
        <f t="shared" si="2"/>
        <v>#N/A</v>
      </c>
      <c r="T33" s="22" t="e">
        <f t="shared" si="5"/>
        <v>#N/A</v>
      </c>
      <c r="U33" s="22">
        <f t="shared" si="8"/>
        <v>6.5989177774844921E-4</v>
      </c>
      <c r="V33" s="23">
        <f t="shared" si="6"/>
        <v>8.4668192219679639E-2</v>
      </c>
      <c r="W33" s="24">
        <f t="shared" si="7"/>
        <v>4.8594693984764905E-3</v>
      </c>
      <c r="X33" s="24">
        <f t="shared" si="3"/>
        <v>1.9532796621354098E-2</v>
      </c>
      <c r="Y33" s="23">
        <f t="shared" si="4"/>
        <v>0.99514053060152352</v>
      </c>
    </row>
    <row r="34" spans="1:25">
      <c r="A34">
        <v>33</v>
      </c>
      <c r="B34" t="s">
        <v>1052</v>
      </c>
      <c r="C34" t="s">
        <v>568</v>
      </c>
      <c r="D34" s="4">
        <v>45390.645833333336</v>
      </c>
      <c r="E34" s="10" t="s">
        <v>796</v>
      </c>
      <c r="F34" s="7">
        <v>615</v>
      </c>
      <c r="G34" s="7">
        <v>1</v>
      </c>
      <c r="H34" s="7">
        <v>0</v>
      </c>
      <c r="I34" s="7">
        <v>1</v>
      </c>
      <c r="J34" s="7">
        <v>614</v>
      </c>
      <c r="K34" s="7">
        <v>331</v>
      </c>
      <c r="L34" s="7">
        <v>227</v>
      </c>
      <c r="M34" s="7">
        <v>30</v>
      </c>
      <c r="N34" s="7">
        <v>15</v>
      </c>
      <c r="O34" s="7">
        <v>1</v>
      </c>
      <c r="P34" s="7">
        <v>172</v>
      </c>
      <c r="Q34" s="22">
        <f t="shared" si="0"/>
        <v>0.36970684039087948</v>
      </c>
      <c r="R34" s="22">
        <f t="shared" si="1"/>
        <v>0.28013029315960913</v>
      </c>
      <c r="S34" s="22" t="e">
        <f t="shared" si="2"/>
        <v>#N/A</v>
      </c>
      <c r="T34" s="22" t="e">
        <f t="shared" si="5"/>
        <v>#N/A</v>
      </c>
      <c r="U34" s="22">
        <f t="shared" ref="U34:U65" si="9">SUM(O34/J34)</f>
        <v>1.6286644951140066E-3</v>
      </c>
      <c r="V34" s="23">
        <f t="shared" ref="V34:V65" si="10">SUM(N34/L34)</f>
        <v>6.6079295154185022E-2</v>
      </c>
      <c r="W34" s="24">
        <f t="shared" si="7"/>
        <v>1.6260162601626016E-3</v>
      </c>
      <c r="X34" s="24">
        <f t="shared" si="3"/>
        <v>2.4429967426710098E-2</v>
      </c>
      <c r="Y34" s="23">
        <f t="shared" si="4"/>
        <v>0.99837398373983743</v>
      </c>
    </row>
    <row r="35" spans="1:25">
      <c r="A35">
        <v>34</v>
      </c>
      <c r="B35" t="s">
        <v>1050</v>
      </c>
      <c r="C35" t="s">
        <v>657</v>
      </c>
      <c r="D35" s="4">
        <v>45396.684027777781</v>
      </c>
      <c r="E35" s="10" t="s">
        <v>813</v>
      </c>
      <c r="F35" s="7">
        <v>7607</v>
      </c>
      <c r="G35" s="7">
        <v>40</v>
      </c>
      <c r="H35" s="7">
        <v>8</v>
      </c>
      <c r="I35" s="7">
        <v>32</v>
      </c>
      <c r="J35" s="7">
        <v>7567</v>
      </c>
      <c r="K35" s="7">
        <v>2708</v>
      </c>
      <c r="L35" s="7">
        <v>1966</v>
      </c>
      <c r="M35" s="7">
        <v>3869</v>
      </c>
      <c r="N35" s="7">
        <v>209</v>
      </c>
      <c r="O35" s="7">
        <v>8</v>
      </c>
      <c r="P35" s="7">
        <v>1890</v>
      </c>
      <c r="Q35" s="22">
        <f t="shared" si="0"/>
        <v>0.2598123430685873</v>
      </c>
      <c r="R35" s="22">
        <f t="shared" si="1"/>
        <v>0.24976873265494912</v>
      </c>
      <c r="S35" s="22" t="e">
        <f t="shared" si="2"/>
        <v>#N/A</v>
      </c>
      <c r="T35" s="22" t="e">
        <f t="shared" si="5"/>
        <v>#N/A</v>
      </c>
      <c r="U35" s="22">
        <f t="shared" si="9"/>
        <v>1.0572221488040175E-3</v>
      </c>
      <c r="V35" s="23">
        <f t="shared" si="10"/>
        <v>0.10630722278738555</v>
      </c>
      <c r="W35" s="24">
        <f t="shared" si="7"/>
        <v>5.2583147101354019E-3</v>
      </c>
      <c r="X35" s="24">
        <f t="shared" si="3"/>
        <v>2.7619928637504957E-2</v>
      </c>
      <c r="Y35" s="23">
        <f t="shared" si="4"/>
        <v>0.99474168528986462</v>
      </c>
    </row>
    <row r="36" spans="1:25">
      <c r="A36">
        <v>35</v>
      </c>
      <c r="B36" t="s">
        <v>1053</v>
      </c>
      <c r="C36" t="s">
        <v>644</v>
      </c>
      <c r="D36" s="4">
        <v>45402.604166666664</v>
      </c>
      <c r="E36" s="10" t="s">
        <v>814</v>
      </c>
      <c r="F36" s="7">
        <v>492</v>
      </c>
      <c r="G36" s="7">
        <v>1</v>
      </c>
      <c r="H36" s="7">
        <v>0</v>
      </c>
      <c r="I36" s="7">
        <v>1</v>
      </c>
      <c r="J36" s="7">
        <v>491</v>
      </c>
      <c r="K36" s="7">
        <v>195</v>
      </c>
      <c r="L36" s="7">
        <v>145</v>
      </c>
      <c r="M36" s="7">
        <v>9</v>
      </c>
      <c r="N36" s="7">
        <v>8</v>
      </c>
      <c r="O36" s="7">
        <v>0</v>
      </c>
      <c r="P36" s="7">
        <v>154</v>
      </c>
      <c r="Q36" s="22">
        <f t="shared" si="0"/>
        <v>0.29531568228105909</v>
      </c>
      <c r="R36" s="22">
        <f t="shared" si="1"/>
        <v>0.31364562118126271</v>
      </c>
      <c r="S36" s="22" t="e">
        <f t="shared" si="2"/>
        <v>#N/A</v>
      </c>
      <c r="T36" s="22" t="e">
        <f t="shared" si="5"/>
        <v>#N/A</v>
      </c>
      <c r="U36" s="22">
        <f t="shared" si="9"/>
        <v>0</v>
      </c>
      <c r="V36" s="23">
        <f t="shared" si="10"/>
        <v>5.5172413793103448E-2</v>
      </c>
      <c r="W36" s="24">
        <f t="shared" si="7"/>
        <v>2.0325203252032522E-3</v>
      </c>
      <c r="X36" s="24">
        <f t="shared" si="3"/>
        <v>1.6293279022403257E-2</v>
      </c>
      <c r="Y36" s="23">
        <f t="shared" si="4"/>
        <v>0.99796747967479671</v>
      </c>
    </row>
    <row r="37" spans="1:25">
      <c r="A37">
        <v>36</v>
      </c>
      <c r="B37" t="s">
        <v>1053</v>
      </c>
      <c r="C37" t="s">
        <v>645</v>
      </c>
      <c r="D37" s="4">
        <v>45402.604166666664</v>
      </c>
      <c r="E37" s="10" t="s">
        <v>814</v>
      </c>
      <c r="F37" s="7">
        <v>492</v>
      </c>
      <c r="G37" s="7">
        <v>2</v>
      </c>
      <c r="H37" s="7">
        <v>1</v>
      </c>
      <c r="I37" s="7">
        <v>1</v>
      </c>
      <c r="J37" s="7">
        <v>490</v>
      </c>
      <c r="K37" s="7">
        <v>185</v>
      </c>
      <c r="L37" s="7">
        <v>123</v>
      </c>
      <c r="M37" s="7">
        <v>7</v>
      </c>
      <c r="N37" s="7">
        <v>6</v>
      </c>
      <c r="O37" s="7">
        <v>1</v>
      </c>
      <c r="P37" s="7">
        <v>154</v>
      </c>
      <c r="Q37" s="22">
        <f t="shared" si="0"/>
        <v>0.25102040816326532</v>
      </c>
      <c r="R37" s="22">
        <f t="shared" si="1"/>
        <v>0.31428571428571428</v>
      </c>
      <c r="S37" s="22" t="e">
        <f t="shared" si="2"/>
        <v>#N/A</v>
      </c>
      <c r="T37" s="22" t="e">
        <f t="shared" si="5"/>
        <v>#N/A</v>
      </c>
      <c r="U37" s="22">
        <f t="shared" si="9"/>
        <v>2.0408163265306124E-3</v>
      </c>
      <c r="V37" s="23">
        <f t="shared" si="10"/>
        <v>4.878048780487805E-2</v>
      </c>
      <c r="W37" s="24">
        <f t="shared" si="7"/>
        <v>4.0650406504065045E-3</v>
      </c>
      <c r="X37" s="24">
        <f t="shared" si="3"/>
        <v>1.2244897959183673E-2</v>
      </c>
      <c r="Y37" s="23">
        <f t="shared" si="4"/>
        <v>0.99593495934959353</v>
      </c>
    </row>
    <row r="38" spans="1:25">
      <c r="A38">
        <v>37</v>
      </c>
      <c r="B38" t="s">
        <v>1053</v>
      </c>
      <c r="C38" t="s">
        <v>644</v>
      </c>
      <c r="D38" s="4">
        <v>45402.688773148147</v>
      </c>
      <c r="E38" s="10" t="s">
        <v>815</v>
      </c>
      <c r="F38" s="7">
        <v>2951</v>
      </c>
      <c r="G38" s="7">
        <v>17</v>
      </c>
      <c r="H38" s="7">
        <v>3</v>
      </c>
      <c r="I38" s="7">
        <v>14</v>
      </c>
      <c r="J38" s="7">
        <v>2934</v>
      </c>
      <c r="K38" s="7">
        <v>1228</v>
      </c>
      <c r="L38" s="7">
        <v>810</v>
      </c>
      <c r="M38" s="7">
        <v>126</v>
      </c>
      <c r="N38" s="7">
        <v>68</v>
      </c>
      <c r="O38" s="7">
        <v>3</v>
      </c>
      <c r="P38" s="7">
        <v>1567</v>
      </c>
      <c r="Q38" s="22">
        <f t="shared" si="0"/>
        <v>0.27607361963190186</v>
      </c>
      <c r="R38" s="22">
        <f t="shared" si="1"/>
        <v>0.53408316291751878</v>
      </c>
      <c r="S38" s="22" t="e">
        <f t="shared" si="2"/>
        <v>#N/A</v>
      </c>
      <c r="T38" s="22" t="e">
        <f t="shared" si="5"/>
        <v>#N/A</v>
      </c>
      <c r="U38" s="22">
        <f t="shared" si="9"/>
        <v>1.0224948875255625E-3</v>
      </c>
      <c r="V38" s="23">
        <f t="shared" si="10"/>
        <v>8.3950617283950618E-2</v>
      </c>
      <c r="W38" s="24">
        <f t="shared" si="7"/>
        <v>5.7607590647238225E-3</v>
      </c>
      <c r="X38" s="24">
        <f t="shared" si="3"/>
        <v>2.3176550783912748E-2</v>
      </c>
      <c r="Y38" s="23">
        <f t="shared" si="4"/>
        <v>0.99423924093527616</v>
      </c>
    </row>
    <row r="39" spans="1:25">
      <c r="A39">
        <v>38</v>
      </c>
      <c r="B39" t="s">
        <v>1052</v>
      </c>
      <c r="C39" t="s">
        <v>567</v>
      </c>
      <c r="D39" s="4">
        <v>45403.75277777778</v>
      </c>
      <c r="E39" s="10" t="s">
        <v>816</v>
      </c>
      <c r="F39" s="7">
        <v>611</v>
      </c>
      <c r="G39" s="7">
        <v>0</v>
      </c>
      <c r="H39" s="7">
        <v>0</v>
      </c>
      <c r="I39" s="7">
        <v>0</v>
      </c>
      <c r="J39" s="7">
        <v>611</v>
      </c>
      <c r="K39" s="7">
        <v>422</v>
      </c>
      <c r="L39" s="7">
        <v>255</v>
      </c>
      <c r="M39" s="7">
        <v>44</v>
      </c>
      <c r="N39" s="7">
        <v>18</v>
      </c>
      <c r="O39" s="7">
        <v>1</v>
      </c>
      <c r="P39" s="7">
        <v>268</v>
      </c>
      <c r="Q39" s="22">
        <f t="shared" si="0"/>
        <v>0.41734860883797054</v>
      </c>
      <c r="R39" s="22">
        <f t="shared" si="1"/>
        <v>0.43862520458265142</v>
      </c>
      <c r="S39" s="22" t="e">
        <f t="shared" si="2"/>
        <v>#N/A</v>
      </c>
      <c r="T39" s="22" t="e">
        <f t="shared" si="5"/>
        <v>#N/A</v>
      </c>
      <c r="U39" s="22">
        <f t="shared" si="9"/>
        <v>1.6366612111292963E-3</v>
      </c>
      <c r="V39" s="23">
        <f t="shared" si="10"/>
        <v>7.0588235294117646E-2</v>
      </c>
      <c r="W39" s="24">
        <f t="shared" si="7"/>
        <v>0</v>
      </c>
      <c r="X39" s="24">
        <f t="shared" si="3"/>
        <v>2.9459901800327332E-2</v>
      </c>
      <c r="Y39" s="23">
        <f t="shared" si="4"/>
        <v>1</v>
      </c>
    </row>
    <row r="40" spans="1:25">
      <c r="A40">
        <v>39</v>
      </c>
      <c r="B40" t="s">
        <v>1054</v>
      </c>
      <c r="C40" t="s">
        <v>640</v>
      </c>
      <c r="D40" s="4">
        <v>45407.625</v>
      </c>
      <c r="E40" s="10" t="s">
        <v>817</v>
      </c>
      <c r="F40" s="7">
        <v>9</v>
      </c>
      <c r="G40" s="7">
        <v>0</v>
      </c>
      <c r="H40" s="7">
        <v>0</v>
      </c>
      <c r="I40" s="7">
        <v>0</v>
      </c>
      <c r="J40" s="7">
        <v>9</v>
      </c>
      <c r="K40" s="7">
        <v>14</v>
      </c>
      <c r="L40" s="7">
        <v>7</v>
      </c>
      <c r="M40" s="7">
        <v>2</v>
      </c>
      <c r="N40" s="7">
        <v>2</v>
      </c>
      <c r="O40" s="7">
        <v>0</v>
      </c>
      <c r="P40" s="7">
        <v>1</v>
      </c>
      <c r="Q40" s="22">
        <f t="shared" si="0"/>
        <v>0.77777777777777779</v>
      </c>
      <c r="R40" s="22">
        <f t="shared" si="1"/>
        <v>0.1111111111111111</v>
      </c>
      <c r="S40" s="22" t="e">
        <f t="shared" si="2"/>
        <v>#N/A</v>
      </c>
      <c r="T40" s="22" t="e">
        <f t="shared" si="5"/>
        <v>#N/A</v>
      </c>
      <c r="U40" s="22">
        <f t="shared" si="9"/>
        <v>0</v>
      </c>
      <c r="V40" s="23">
        <f t="shared" si="10"/>
        <v>0.2857142857142857</v>
      </c>
      <c r="W40" s="24">
        <f t="shared" si="7"/>
        <v>0</v>
      </c>
      <c r="X40" s="24">
        <f t="shared" si="3"/>
        <v>0.22222222222222221</v>
      </c>
      <c r="Y40" s="23">
        <f t="shared" si="4"/>
        <v>1</v>
      </c>
    </row>
    <row r="41" spans="1:25">
      <c r="A41">
        <v>40</v>
      </c>
      <c r="B41" t="s">
        <v>1054</v>
      </c>
      <c r="C41" t="s">
        <v>636</v>
      </c>
      <c r="D41" s="4">
        <v>45416.666666666664</v>
      </c>
      <c r="E41" s="10" t="s">
        <v>791</v>
      </c>
      <c r="F41" s="7">
        <v>2853</v>
      </c>
      <c r="G41" s="7">
        <v>46</v>
      </c>
      <c r="H41" s="7">
        <v>10</v>
      </c>
      <c r="I41" s="7">
        <v>36</v>
      </c>
      <c r="J41" s="7">
        <v>2807</v>
      </c>
      <c r="K41" s="7">
        <v>1486</v>
      </c>
      <c r="L41" s="7">
        <v>980</v>
      </c>
      <c r="M41" s="7">
        <v>977</v>
      </c>
      <c r="N41" s="7">
        <v>122</v>
      </c>
      <c r="O41" s="7">
        <v>5</v>
      </c>
      <c r="P41" s="7">
        <v>567</v>
      </c>
      <c r="Q41" s="22">
        <f t="shared" si="0"/>
        <v>0.3491271820448878</v>
      </c>
      <c r="R41" s="22">
        <f t="shared" si="1"/>
        <v>0.20199501246882792</v>
      </c>
      <c r="S41" s="22" t="e">
        <f t="shared" si="2"/>
        <v>#N/A</v>
      </c>
      <c r="T41" s="22" t="e">
        <f t="shared" si="5"/>
        <v>#N/A</v>
      </c>
      <c r="U41" s="22">
        <f t="shared" si="9"/>
        <v>1.7812611328820805E-3</v>
      </c>
      <c r="V41" s="23">
        <f t="shared" si="10"/>
        <v>0.12448979591836734</v>
      </c>
      <c r="W41" s="24">
        <f t="shared" si="7"/>
        <v>1.6123378899404135E-2</v>
      </c>
      <c r="X41" s="24">
        <f t="shared" si="3"/>
        <v>4.3462771642322762E-2</v>
      </c>
      <c r="Y41" s="23">
        <f t="shared" si="4"/>
        <v>0.98387662110059582</v>
      </c>
    </row>
    <row r="42" spans="1:25">
      <c r="A42">
        <v>41</v>
      </c>
      <c r="B42" t="s">
        <v>1052</v>
      </c>
      <c r="C42" t="s">
        <v>566</v>
      </c>
      <c r="D42" s="4">
        <v>45417.673611111109</v>
      </c>
      <c r="E42" s="10" t="s">
        <v>818</v>
      </c>
      <c r="F42" s="7">
        <v>621</v>
      </c>
      <c r="G42" s="7">
        <v>2</v>
      </c>
      <c r="H42" s="7">
        <v>0</v>
      </c>
      <c r="I42" s="7">
        <v>2</v>
      </c>
      <c r="J42" s="7">
        <v>619</v>
      </c>
      <c r="K42" s="7">
        <v>346</v>
      </c>
      <c r="L42" s="7">
        <v>228</v>
      </c>
      <c r="M42" s="7">
        <v>213</v>
      </c>
      <c r="N42" s="7">
        <v>23</v>
      </c>
      <c r="O42" s="7">
        <v>2</v>
      </c>
      <c r="P42" s="7">
        <v>178</v>
      </c>
      <c r="Q42" s="22">
        <f t="shared" si="0"/>
        <v>0.36833602584814218</v>
      </c>
      <c r="R42" s="22">
        <f t="shared" si="1"/>
        <v>0.28756058158319869</v>
      </c>
      <c r="S42" s="22" t="e">
        <f t="shared" si="2"/>
        <v>#N/A</v>
      </c>
      <c r="T42" s="22" t="e">
        <f t="shared" si="5"/>
        <v>#N/A</v>
      </c>
      <c r="U42" s="22">
        <f t="shared" si="9"/>
        <v>3.2310177705977385E-3</v>
      </c>
      <c r="V42" s="23">
        <f t="shared" si="10"/>
        <v>0.10087719298245613</v>
      </c>
      <c r="W42" s="24">
        <f t="shared" si="7"/>
        <v>3.2206119162640902E-3</v>
      </c>
      <c r="X42" s="24">
        <f t="shared" si="3"/>
        <v>3.7156704361873988E-2</v>
      </c>
      <c r="Y42" s="23">
        <f t="shared" si="4"/>
        <v>0.9967793880837359</v>
      </c>
    </row>
    <row r="43" spans="1:25">
      <c r="A43">
        <v>42</v>
      </c>
      <c r="B43" t="s">
        <v>1054</v>
      </c>
      <c r="C43" t="s">
        <v>639</v>
      </c>
      <c r="D43" s="4">
        <v>45421.583333333336</v>
      </c>
      <c r="E43" s="10" t="s">
        <v>819</v>
      </c>
      <c r="F43" s="7">
        <v>1855</v>
      </c>
      <c r="G43" s="7">
        <v>18</v>
      </c>
      <c r="H43" s="7">
        <v>10</v>
      </c>
      <c r="I43" s="7">
        <v>8</v>
      </c>
      <c r="J43" s="7">
        <v>1837</v>
      </c>
      <c r="K43" s="7">
        <v>315</v>
      </c>
      <c r="L43" s="7">
        <v>251</v>
      </c>
      <c r="M43" s="7">
        <v>96</v>
      </c>
      <c r="N43" s="7">
        <v>15</v>
      </c>
      <c r="O43" s="7">
        <v>3</v>
      </c>
      <c r="P43" s="7">
        <v>234</v>
      </c>
      <c r="Q43" s="22">
        <f t="shared" si="0"/>
        <v>0.1366358192705498</v>
      </c>
      <c r="R43" s="22">
        <f t="shared" si="1"/>
        <v>0.12738160043549265</v>
      </c>
      <c r="S43" s="22" t="e">
        <f t="shared" si="2"/>
        <v>#N/A</v>
      </c>
      <c r="T43" s="22" t="e">
        <f t="shared" si="5"/>
        <v>#N/A</v>
      </c>
      <c r="U43" s="22">
        <f t="shared" si="9"/>
        <v>1.633097441480675E-3</v>
      </c>
      <c r="V43" s="23">
        <f t="shared" si="10"/>
        <v>5.9760956175298807E-2</v>
      </c>
      <c r="W43" s="24">
        <f t="shared" si="7"/>
        <v>9.7035040431266845E-3</v>
      </c>
      <c r="X43" s="24">
        <f t="shared" si="3"/>
        <v>8.1654872074033748E-3</v>
      </c>
      <c r="Y43" s="23">
        <f t="shared" si="4"/>
        <v>0.9902964959568733</v>
      </c>
    </row>
    <row r="44" spans="1:25">
      <c r="A44">
        <v>43</v>
      </c>
      <c r="B44" t="s">
        <v>1054</v>
      </c>
      <c r="C44" t="s">
        <v>638</v>
      </c>
      <c r="D44" s="4">
        <v>45423.520833333336</v>
      </c>
      <c r="E44" s="10" t="s">
        <v>820</v>
      </c>
      <c r="F44" s="7">
        <v>16</v>
      </c>
      <c r="G44" s="7">
        <v>0</v>
      </c>
      <c r="H44" s="7">
        <v>0</v>
      </c>
      <c r="I44" s="7">
        <v>0</v>
      </c>
      <c r="J44" s="7">
        <v>16</v>
      </c>
      <c r="K44" s="7">
        <v>31</v>
      </c>
      <c r="L44" s="7">
        <v>10</v>
      </c>
      <c r="M44" s="7">
        <v>4</v>
      </c>
      <c r="N44" s="7">
        <v>4</v>
      </c>
      <c r="O44" s="7">
        <v>0</v>
      </c>
      <c r="P44" s="7">
        <v>12</v>
      </c>
      <c r="Q44" s="22">
        <f t="shared" si="0"/>
        <v>0.625</v>
      </c>
      <c r="R44" s="22">
        <f t="shared" si="1"/>
        <v>0.75</v>
      </c>
      <c r="S44" s="22" t="e">
        <f t="shared" si="2"/>
        <v>#N/A</v>
      </c>
      <c r="T44" s="22" t="e">
        <f t="shared" si="5"/>
        <v>#N/A</v>
      </c>
      <c r="U44" s="22">
        <f t="shared" si="9"/>
        <v>0</v>
      </c>
      <c r="V44" s="23">
        <f t="shared" si="10"/>
        <v>0.4</v>
      </c>
      <c r="W44" s="24">
        <f t="shared" si="7"/>
        <v>0</v>
      </c>
      <c r="X44" s="24">
        <f t="shared" si="3"/>
        <v>0.25</v>
      </c>
      <c r="Y44" s="23">
        <f t="shared" si="4"/>
        <v>1</v>
      </c>
    </row>
    <row r="45" spans="1:25">
      <c r="A45">
        <v>44</v>
      </c>
      <c r="B45" t="s">
        <v>1054</v>
      </c>
      <c r="C45" t="s">
        <v>637</v>
      </c>
      <c r="D45" s="4">
        <v>45423.520833333336</v>
      </c>
      <c r="E45" s="10" t="s">
        <v>820</v>
      </c>
      <c r="F45" s="7">
        <v>17</v>
      </c>
      <c r="G45" s="7">
        <v>0</v>
      </c>
      <c r="H45" s="7">
        <v>0</v>
      </c>
      <c r="I45" s="7">
        <v>0</v>
      </c>
      <c r="J45" s="7">
        <v>17</v>
      </c>
      <c r="K45" s="7">
        <v>34</v>
      </c>
      <c r="L45" s="7">
        <v>11</v>
      </c>
      <c r="M45" s="7">
        <v>7</v>
      </c>
      <c r="N45" s="7">
        <v>4</v>
      </c>
      <c r="O45" s="7">
        <v>0</v>
      </c>
      <c r="P45" s="7">
        <v>1</v>
      </c>
      <c r="Q45" s="22">
        <f t="shared" si="0"/>
        <v>0.6470588235294118</v>
      </c>
      <c r="R45" s="22">
        <f t="shared" si="1"/>
        <v>5.8823529411764705E-2</v>
      </c>
      <c r="S45" s="22" t="e">
        <f t="shared" si="2"/>
        <v>#N/A</v>
      </c>
      <c r="T45" s="22" t="e">
        <f t="shared" si="5"/>
        <v>#N/A</v>
      </c>
      <c r="U45" s="22">
        <f t="shared" si="9"/>
        <v>0</v>
      </c>
      <c r="V45" s="23">
        <f t="shared" si="10"/>
        <v>0.36363636363636365</v>
      </c>
      <c r="W45" s="24">
        <f t="shared" si="7"/>
        <v>0</v>
      </c>
      <c r="X45" s="24">
        <f t="shared" si="3"/>
        <v>0.23529411764705882</v>
      </c>
      <c r="Y45" s="23">
        <f t="shared" si="4"/>
        <v>1</v>
      </c>
    </row>
    <row r="46" spans="1:25">
      <c r="A46">
        <v>45</v>
      </c>
      <c r="B46" t="s">
        <v>1054</v>
      </c>
      <c r="C46" t="s">
        <v>637</v>
      </c>
      <c r="D46" s="4">
        <v>45423.64634259259</v>
      </c>
      <c r="E46" s="10" t="s">
        <v>796</v>
      </c>
      <c r="F46" s="7">
        <v>97</v>
      </c>
      <c r="G46" s="7">
        <v>0</v>
      </c>
      <c r="H46" s="7">
        <v>0</v>
      </c>
      <c r="I46" s="7">
        <v>0</v>
      </c>
      <c r="J46" s="7">
        <v>97</v>
      </c>
      <c r="K46" s="7">
        <v>97</v>
      </c>
      <c r="L46" s="7">
        <v>62</v>
      </c>
      <c r="M46" s="7">
        <v>40</v>
      </c>
      <c r="N46" s="7">
        <v>35</v>
      </c>
      <c r="O46" s="7">
        <v>0</v>
      </c>
      <c r="P46" s="7">
        <v>56</v>
      </c>
      <c r="Q46" s="22">
        <f t="shared" si="0"/>
        <v>0.63917525773195871</v>
      </c>
      <c r="R46" s="22">
        <f t="shared" si="1"/>
        <v>0.57731958762886593</v>
      </c>
      <c r="S46" s="22" t="e">
        <f t="shared" si="2"/>
        <v>#N/A</v>
      </c>
      <c r="T46" s="22" t="e">
        <f t="shared" si="5"/>
        <v>#N/A</v>
      </c>
      <c r="U46" s="22">
        <f t="shared" si="9"/>
        <v>0</v>
      </c>
      <c r="V46" s="23">
        <f t="shared" si="10"/>
        <v>0.56451612903225812</v>
      </c>
      <c r="W46" s="24">
        <f t="shared" si="7"/>
        <v>0</v>
      </c>
      <c r="X46" s="24">
        <f t="shared" si="3"/>
        <v>0.36082474226804123</v>
      </c>
      <c r="Y46" s="23">
        <f t="shared" si="4"/>
        <v>1</v>
      </c>
    </row>
    <row r="47" spans="1:25">
      <c r="A47">
        <v>46</v>
      </c>
      <c r="B47" t="s">
        <v>1050</v>
      </c>
      <c r="C47" t="s">
        <v>656</v>
      </c>
      <c r="D47" s="4">
        <v>45424.660416666666</v>
      </c>
      <c r="E47" s="10" t="s">
        <v>821</v>
      </c>
      <c r="F47" s="7">
        <v>7656</v>
      </c>
      <c r="G47" s="7">
        <v>48</v>
      </c>
      <c r="H47" s="7">
        <v>12</v>
      </c>
      <c r="I47" s="7">
        <v>36</v>
      </c>
      <c r="J47" s="7">
        <v>7608</v>
      </c>
      <c r="K47" s="7">
        <v>2525</v>
      </c>
      <c r="L47" s="7">
        <v>1806</v>
      </c>
      <c r="M47" s="7">
        <v>284</v>
      </c>
      <c r="N47" s="7">
        <v>117</v>
      </c>
      <c r="O47" s="7">
        <v>6</v>
      </c>
      <c r="P47" s="7">
        <v>4578</v>
      </c>
      <c r="Q47" s="22">
        <f t="shared" si="0"/>
        <v>0.23738170347003154</v>
      </c>
      <c r="R47" s="22">
        <f t="shared" si="1"/>
        <v>0.6017350157728707</v>
      </c>
      <c r="S47" s="22" t="e">
        <f t="shared" si="2"/>
        <v>#N/A</v>
      </c>
      <c r="T47" s="22" t="e">
        <f t="shared" si="5"/>
        <v>#N/A</v>
      </c>
      <c r="U47" s="22">
        <f t="shared" si="9"/>
        <v>7.8864353312302837E-4</v>
      </c>
      <c r="V47" s="23">
        <f t="shared" si="10"/>
        <v>6.4784053156146174E-2</v>
      </c>
      <c r="W47" s="24">
        <f t="shared" si="7"/>
        <v>6.269592476489028E-3</v>
      </c>
      <c r="X47" s="24">
        <f t="shared" si="3"/>
        <v>1.5378548895899053E-2</v>
      </c>
      <c r="Y47" s="23">
        <f t="shared" si="4"/>
        <v>0.99373040752351094</v>
      </c>
    </row>
    <row r="48" spans="1:25">
      <c r="A48">
        <v>47</v>
      </c>
      <c r="B48" t="s">
        <v>963</v>
      </c>
      <c r="C48" t="s">
        <v>529</v>
      </c>
      <c r="D48" s="4">
        <v>45428.659722222219</v>
      </c>
      <c r="E48" s="10" t="s">
        <v>822</v>
      </c>
      <c r="F48" s="7">
        <v>886</v>
      </c>
      <c r="G48" s="7">
        <v>27</v>
      </c>
      <c r="H48" s="7">
        <v>3</v>
      </c>
      <c r="I48" s="7">
        <v>24</v>
      </c>
      <c r="J48" s="7">
        <v>859</v>
      </c>
      <c r="K48" s="7">
        <v>468</v>
      </c>
      <c r="L48" s="7">
        <v>252</v>
      </c>
      <c r="M48" s="7">
        <v>32</v>
      </c>
      <c r="N48" s="7">
        <v>22</v>
      </c>
      <c r="O48" s="7">
        <v>1</v>
      </c>
      <c r="P48" s="7">
        <v>343</v>
      </c>
      <c r="Q48" s="22">
        <f t="shared" si="0"/>
        <v>0.29336437718277064</v>
      </c>
      <c r="R48" s="22">
        <f t="shared" si="1"/>
        <v>0.39930151338766007</v>
      </c>
      <c r="S48" s="22" t="e">
        <f t="shared" si="2"/>
        <v>#N/A</v>
      </c>
      <c r="T48" s="22" t="e">
        <f t="shared" si="5"/>
        <v>#N/A</v>
      </c>
      <c r="U48" s="22">
        <f t="shared" si="9"/>
        <v>1.1641443538998836E-3</v>
      </c>
      <c r="V48" s="23">
        <f t="shared" si="10"/>
        <v>8.7301587301587297E-2</v>
      </c>
      <c r="W48" s="24">
        <f t="shared" si="7"/>
        <v>3.0474040632054177E-2</v>
      </c>
      <c r="X48" s="24">
        <f t="shared" si="3"/>
        <v>2.5611175785797437E-2</v>
      </c>
      <c r="Y48" s="23">
        <f t="shared" si="4"/>
        <v>0.96952595936794583</v>
      </c>
    </row>
    <row r="49" spans="1:25">
      <c r="A49">
        <v>48</v>
      </c>
      <c r="B49" t="s">
        <v>1054</v>
      </c>
      <c r="C49" t="s">
        <v>690</v>
      </c>
      <c r="D49" s="4">
        <v>45430.666666666664</v>
      </c>
      <c r="E49" s="10" t="s">
        <v>791</v>
      </c>
      <c r="F49" s="7">
        <v>2754</v>
      </c>
      <c r="G49" s="7">
        <v>10</v>
      </c>
      <c r="H49" s="7">
        <v>7</v>
      </c>
      <c r="I49" s="7">
        <v>3</v>
      </c>
      <c r="J49" s="7">
        <v>2744</v>
      </c>
      <c r="K49" s="7">
        <v>1230</v>
      </c>
      <c r="L49" s="7">
        <v>856</v>
      </c>
      <c r="M49" s="7">
        <v>119</v>
      </c>
      <c r="N49" s="7">
        <v>42</v>
      </c>
      <c r="O49" s="7">
        <v>3</v>
      </c>
      <c r="P49" s="7">
        <v>1456</v>
      </c>
      <c r="Q49" s="22">
        <f t="shared" si="0"/>
        <v>0.31195335276967928</v>
      </c>
      <c r="R49" s="22">
        <f t="shared" si="1"/>
        <v>0.53061224489795922</v>
      </c>
      <c r="S49" s="22" t="e">
        <f t="shared" si="2"/>
        <v>#N/A</v>
      </c>
      <c r="T49" s="22" t="e">
        <f t="shared" si="5"/>
        <v>#N/A</v>
      </c>
      <c r="U49" s="22">
        <f t="shared" si="9"/>
        <v>1.0932944606413995E-3</v>
      </c>
      <c r="V49" s="23">
        <f t="shared" si="10"/>
        <v>4.9065420560747662E-2</v>
      </c>
      <c r="W49" s="24">
        <f t="shared" si="7"/>
        <v>3.6310820624546117E-3</v>
      </c>
      <c r="X49" s="24">
        <f t="shared" si="3"/>
        <v>1.5306122448979591E-2</v>
      </c>
      <c r="Y49" s="23">
        <f t="shared" si="4"/>
        <v>0.99636891793754534</v>
      </c>
    </row>
    <row r="50" spans="1:25">
      <c r="A50">
        <v>49</v>
      </c>
      <c r="B50" t="s">
        <v>1052</v>
      </c>
      <c r="C50" t="s">
        <v>565</v>
      </c>
      <c r="D50" s="4">
        <v>45431.5625</v>
      </c>
      <c r="E50" s="10" t="s">
        <v>823</v>
      </c>
      <c r="F50" s="7">
        <v>50</v>
      </c>
      <c r="G50" s="7">
        <v>0</v>
      </c>
      <c r="H50" s="7">
        <v>0</v>
      </c>
      <c r="I50" s="7">
        <v>0</v>
      </c>
      <c r="J50" s="7">
        <v>50</v>
      </c>
      <c r="K50" s="7">
        <v>29</v>
      </c>
      <c r="L50" s="7">
        <v>18</v>
      </c>
      <c r="M50" s="7">
        <v>12</v>
      </c>
      <c r="N50" s="7">
        <v>4</v>
      </c>
      <c r="O50" s="7">
        <v>0</v>
      </c>
      <c r="P50" s="7">
        <v>11</v>
      </c>
      <c r="Q50" s="22">
        <f t="shared" si="0"/>
        <v>0.36</v>
      </c>
      <c r="R50" s="22">
        <f t="shared" si="1"/>
        <v>0.22</v>
      </c>
      <c r="S50" s="22" t="e">
        <f t="shared" si="2"/>
        <v>#N/A</v>
      </c>
      <c r="T50" s="22" t="e">
        <f t="shared" si="5"/>
        <v>#N/A</v>
      </c>
      <c r="U50" s="22">
        <f t="shared" si="9"/>
        <v>0</v>
      </c>
      <c r="V50" s="23">
        <f t="shared" si="10"/>
        <v>0.22222222222222221</v>
      </c>
      <c r="W50" s="24">
        <f t="shared" si="7"/>
        <v>0</v>
      </c>
      <c r="X50" s="24">
        <f t="shared" si="3"/>
        <v>0.08</v>
      </c>
      <c r="Y50" s="23">
        <f t="shared" si="4"/>
        <v>1</v>
      </c>
    </row>
    <row r="51" spans="1:25">
      <c r="A51">
        <v>50</v>
      </c>
      <c r="B51" t="s">
        <v>1052</v>
      </c>
      <c r="C51" t="s">
        <v>565</v>
      </c>
      <c r="D51" s="4">
        <v>45431.5625</v>
      </c>
      <c r="E51" s="10" t="s">
        <v>823</v>
      </c>
      <c r="F51" s="7">
        <v>51</v>
      </c>
      <c r="G51" s="7">
        <v>0</v>
      </c>
      <c r="H51" s="7">
        <v>0</v>
      </c>
      <c r="I51" s="7">
        <v>0</v>
      </c>
      <c r="J51" s="7">
        <v>51</v>
      </c>
      <c r="K51" s="7">
        <v>22</v>
      </c>
      <c r="L51" s="7">
        <v>18</v>
      </c>
      <c r="M51" s="7">
        <v>2</v>
      </c>
      <c r="N51" s="7">
        <v>2</v>
      </c>
      <c r="O51" s="7">
        <v>1</v>
      </c>
      <c r="P51" s="7">
        <v>1</v>
      </c>
      <c r="Q51" s="22">
        <f t="shared" si="0"/>
        <v>0.35294117647058826</v>
      </c>
      <c r="R51" s="22">
        <f t="shared" si="1"/>
        <v>1.9607843137254902E-2</v>
      </c>
      <c r="S51" s="22" t="e">
        <f t="shared" si="2"/>
        <v>#N/A</v>
      </c>
      <c r="T51" s="22">
        <f t="shared" si="5"/>
        <v>1.9607843137254902E-2</v>
      </c>
      <c r="U51" s="22">
        <f t="shared" si="9"/>
        <v>1.9607843137254902E-2</v>
      </c>
      <c r="V51" s="23">
        <f t="shared" si="10"/>
        <v>0.1111111111111111</v>
      </c>
      <c r="W51" s="24">
        <f t="shared" si="7"/>
        <v>0</v>
      </c>
      <c r="X51" s="24">
        <f t="shared" si="3"/>
        <v>3.9215686274509803E-2</v>
      </c>
      <c r="Y51" s="23">
        <f t="shared" si="4"/>
        <v>1</v>
      </c>
    </row>
    <row r="52" spans="1:25">
      <c r="A52">
        <v>51</v>
      </c>
      <c r="B52" t="s">
        <v>1052</v>
      </c>
      <c r="C52" t="s">
        <v>565</v>
      </c>
      <c r="D52" s="4">
        <v>45431.605185185188</v>
      </c>
      <c r="E52" s="10" t="s">
        <v>824</v>
      </c>
      <c r="F52" s="7">
        <v>566</v>
      </c>
      <c r="G52" s="7">
        <v>2</v>
      </c>
      <c r="H52" s="7">
        <v>0</v>
      </c>
      <c r="I52" s="7">
        <v>2</v>
      </c>
      <c r="J52" s="7">
        <v>564</v>
      </c>
      <c r="K52" s="7">
        <v>295</v>
      </c>
      <c r="L52" s="7">
        <v>199</v>
      </c>
      <c r="M52" s="7">
        <v>39</v>
      </c>
      <c r="N52" s="7">
        <v>21</v>
      </c>
      <c r="O52" s="7">
        <v>0</v>
      </c>
      <c r="P52" s="7">
        <v>223</v>
      </c>
      <c r="Q52" s="22">
        <f t="shared" si="0"/>
        <v>0.3528368794326241</v>
      </c>
      <c r="R52" s="22">
        <f t="shared" si="1"/>
        <v>0.3953900709219858</v>
      </c>
      <c r="S52" s="22" t="e">
        <f t="shared" si="2"/>
        <v>#N/A</v>
      </c>
      <c r="T52" s="22" t="e">
        <f t="shared" si="5"/>
        <v>#N/A</v>
      </c>
      <c r="U52" s="22">
        <f t="shared" si="9"/>
        <v>0</v>
      </c>
      <c r="V52" s="23">
        <f t="shared" si="10"/>
        <v>0.10552763819095477</v>
      </c>
      <c r="W52" s="24">
        <f t="shared" si="7"/>
        <v>3.5335689045936395E-3</v>
      </c>
      <c r="X52" s="24">
        <f t="shared" si="3"/>
        <v>3.7234042553191488E-2</v>
      </c>
      <c r="Y52" s="23">
        <f t="shared" si="4"/>
        <v>0.99646643109540634</v>
      </c>
    </row>
    <row r="53" spans="1:25">
      <c r="A53">
        <v>52</v>
      </c>
      <c r="B53" t="s">
        <v>1054</v>
      </c>
      <c r="C53" t="s">
        <v>636</v>
      </c>
      <c r="D53" s="4">
        <v>45431.666666666664</v>
      </c>
      <c r="E53" s="10" t="s">
        <v>791</v>
      </c>
      <c r="F53" s="7">
        <v>1174</v>
      </c>
      <c r="G53" s="7">
        <v>6</v>
      </c>
      <c r="H53" s="7">
        <v>0</v>
      </c>
      <c r="I53" s="7">
        <v>6</v>
      </c>
      <c r="J53" s="7">
        <v>1168</v>
      </c>
      <c r="K53" s="7">
        <v>556</v>
      </c>
      <c r="L53" s="7">
        <v>378</v>
      </c>
      <c r="M53" s="7">
        <v>100</v>
      </c>
      <c r="N53" s="7">
        <v>40</v>
      </c>
      <c r="O53" s="7">
        <v>3</v>
      </c>
      <c r="P53" s="7">
        <v>456</v>
      </c>
      <c r="Q53" s="22">
        <f t="shared" si="0"/>
        <v>0.32363013698630139</v>
      </c>
      <c r="R53" s="22">
        <f t="shared" si="1"/>
        <v>0.3904109589041096</v>
      </c>
      <c r="S53" s="22" t="e">
        <f t="shared" si="2"/>
        <v>#N/A</v>
      </c>
      <c r="T53" s="22" t="e">
        <f t="shared" si="5"/>
        <v>#N/A</v>
      </c>
      <c r="U53" s="22">
        <f t="shared" si="9"/>
        <v>2.5684931506849314E-3</v>
      </c>
      <c r="V53" s="23">
        <f t="shared" si="10"/>
        <v>0.10582010582010581</v>
      </c>
      <c r="W53" s="24">
        <f t="shared" si="7"/>
        <v>5.1107325383304937E-3</v>
      </c>
      <c r="X53" s="24">
        <f t="shared" si="3"/>
        <v>3.4246575342465752E-2</v>
      </c>
      <c r="Y53" s="23">
        <f t="shared" si="4"/>
        <v>0.9948892674616695</v>
      </c>
    </row>
    <row r="54" spans="1:25">
      <c r="A54">
        <v>53</v>
      </c>
      <c r="B54" t="s">
        <v>1055</v>
      </c>
      <c r="C54" t="s">
        <v>714</v>
      </c>
      <c r="D54" s="4">
        <v>45435.583333333336</v>
      </c>
      <c r="E54" s="10" t="s">
        <v>819</v>
      </c>
      <c r="F54" s="7">
        <v>161</v>
      </c>
      <c r="G54" s="7">
        <v>13</v>
      </c>
      <c r="H54" s="7">
        <v>1</v>
      </c>
      <c r="I54" s="7">
        <v>12</v>
      </c>
      <c r="J54" s="7">
        <v>148</v>
      </c>
      <c r="K54" s="7">
        <v>99</v>
      </c>
      <c r="L54" s="7">
        <v>55</v>
      </c>
      <c r="M54" s="7">
        <v>9</v>
      </c>
      <c r="N54" s="7">
        <v>8</v>
      </c>
      <c r="O54" s="7">
        <v>0</v>
      </c>
      <c r="P54" s="7">
        <v>105</v>
      </c>
      <c r="Q54" s="22">
        <f t="shared" si="0"/>
        <v>0.3716216216216216</v>
      </c>
      <c r="R54" s="22">
        <f t="shared" si="1"/>
        <v>0.70945945945945943</v>
      </c>
      <c r="S54" s="22" t="e">
        <f t="shared" si="2"/>
        <v>#N/A</v>
      </c>
      <c r="T54" s="22" t="e">
        <f t="shared" si="5"/>
        <v>#N/A</v>
      </c>
      <c r="U54" s="22">
        <f t="shared" si="9"/>
        <v>0</v>
      </c>
      <c r="V54" s="23">
        <f t="shared" si="10"/>
        <v>0.14545454545454545</v>
      </c>
      <c r="W54" s="24">
        <f t="shared" si="7"/>
        <v>8.0745341614906832E-2</v>
      </c>
      <c r="X54" s="24">
        <f t="shared" si="3"/>
        <v>5.4054054054054057E-2</v>
      </c>
      <c r="Y54" s="23">
        <f t="shared" si="4"/>
        <v>0.91925465838509313</v>
      </c>
    </row>
    <row r="55" spans="1:25">
      <c r="A55">
        <v>54</v>
      </c>
      <c r="B55" t="s">
        <v>1054</v>
      </c>
      <c r="C55" t="s">
        <v>635</v>
      </c>
      <c r="D55" s="4">
        <v>45436.625</v>
      </c>
      <c r="E55" s="10" t="s">
        <v>817</v>
      </c>
      <c r="F55" s="7">
        <v>1199</v>
      </c>
      <c r="G55" s="7">
        <v>5</v>
      </c>
      <c r="H55" s="7">
        <v>2</v>
      </c>
      <c r="I55" s="7">
        <v>3</v>
      </c>
      <c r="J55" s="7">
        <v>1194</v>
      </c>
      <c r="K55" s="7">
        <v>755</v>
      </c>
      <c r="L55" s="7">
        <v>498</v>
      </c>
      <c r="M55" s="7">
        <v>48</v>
      </c>
      <c r="N55" s="7">
        <v>10</v>
      </c>
      <c r="O55" s="7">
        <v>2</v>
      </c>
      <c r="P55" s="7">
        <v>234</v>
      </c>
      <c r="Q55" s="22">
        <f t="shared" si="0"/>
        <v>0.41708542713567837</v>
      </c>
      <c r="R55" s="22">
        <f t="shared" si="1"/>
        <v>0.19597989949748743</v>
      </c>
      <c r="S55" s="22" t="e">
        <f t="shared" si="2"/>
        <v>#N/A</v>
      </c>
      <c r="T55" s="22" t="e">
        <f t="shared" si="5"/>
        <v>#N/A</v>
      </c>
      <c r="U55" s="22">
        <f t="shared" si="9"/>
        <v>1.6750418760469012E-3</v>
      </c>
      <c r="V55" s="23">
        <f t="shared" si="10"/>
        <v>2.0080321285140562E-2</v>
      </c>
      <c r="W55" s="24">
        <f t="shared" si="7"/>
        <v>4.1701417848206837E-3</v>
      </c>
      <c r="X55" s="24">
        <f t="shared" si="3"/>
        <v>8.3752093802345051E-3</v>
      </c>
      <c r="Y55" s="23">
        <f t="shared" si="4"/>
        <v>0.99582985821517933</v>
      </c>
    </row>
    <row r="56" spans="1:25">
      <c r="A56">
        <v>55</v>
      </c>
      <c r="B56" t="s">
        <v>1054</v>
      </c>
      <c r="C56" t="s">
        <v>634</v>
      </c>
      <c r="D56" s="4">
        <v>45438.666666666664</v>
      </c>
      <c r="E56" s="10" t="s">
        <v>791</v>
      </c>
      <c r="F56" s="7">
        <v>1162</v>
      </c>
      <c r="G56" s="7">
        <v>1</v>
      </c>
      <c r="H56" s="7">
        <v>1</v>
      </c>
      <c r="I56" s="7">
        <v>0</v>
      </c>
      <c r="J56" s="7">
        <v>1161</v>
      </c>
      <c r="K56" s="7">
        <v>457</v>
      </c>
      <c r="L56" s="7">
        <v>341</v>
      </c>
      <c r="M56" s="7">
        <v>37</v>
      </c>
      <c r="N56" s="7">
        <v>18</v>
      </c>
      <c r="O56" s="7">
        <v>4</v>
      </c>
      <c r="P56" s="7">
        <v>456</v>
      </c>
      <c r="Q56" s="22">
        <f t="shared" si="0"/>
        <v>0.29371231696813094</v>
      </c>
      <c r="R56" s="22">
        <f t="shared" si="1"/>
        <v>0.39276485788113696</v>
      </c>
      <c r="S56" s="22" t="e">
        <f t="shared" si="2"/>
        <v>#N/A</v>
      </c>
      <c r="T56" s="22" t="e">
        <f t="shared" si="5"/>
        <v>#N/A</v>
      </c>
      <c r="U56" s="22">
        <f t="shared" si="9"/>
        <v>3.4453057708871662E-3</v>
      </c>
      <c r="V56" s="23">
        <f t="shared" si="10"/>
        <v>5.2785923753665691E-2</v>
      </c>
      <c r="W56" s="24">
        <f t="shared" si="7"/>
        <v>8.6058519793459555E-4</v>
      </c>
      <c r="X56" s="24">
        <f t="shared" si="3"/>
        <v>1.5503875968992248E-2</v>
      </c>
      <c r="Y56" s="23">
        <f t="shared" si="4"/>
        <v>0.99913941480206536</v>
      </c>
    </row>
    <row r="57" spans="1:25">
      <c r="A57">
        <v>56</v>
      </c>
      <c r="B57" t="s">
        <v>1050</v>
      </c>
      <c r="C57" t="s">
        <v>655</v>
      </c>
      <c r="D57" s="4">
        <v>45439.554166666669</v>
      </c>
      <c r="E57" s="10" t="s">
        <v>825</v>
      </c>
      <c r="F57" s="7">
        <v>7609</v>
      </c>
      <c r="G57" s="7">
        <v>16</v>
      </c>
      <c r="H57" s="7">
        <v>6</v>
      </c>
      <c r="I57" s="7">
        <v>10</v>
      </c>
      <c r="J57" s="7">
        <v>7593</v>
      </c>
      <c r="K57" s="7">
        <v>2685</v>
      </c>
      <c r="L57" s="7">
        <v>1958</v>
      </c>
      <c r="M57" s="7">
        <v>317</v>
      </c>
      <c r="N57" s="7">
        <v>102</v>
      </c>
      <c r="O57" s="7">
        <v>10</v>
      </c>
      <c r="P57" s="7">
        <v>1698</v>
      </c>
      <c r="Q57" s="22">
        <f t="shared" si="0"/>
        <v>0.25786908995127089</v>
      </c>
      <c r="R57" s="22">
        <f t="shared" si="1"/>
        <v>0.22362702489134728</v>
      </c>
      <c r="S57" s="22" t="e">
        <f t="shared" si="2"/>
        <v>#N/A</v>
      </c>
      <c r="T57" s="22" t="e">
        <f t="shared" si="5"/>
        <v>#N/A</v>
      </c>
      <c r="U57" s="22">
        <f t="shared" si="9"/>
        <v>1.3170025023047543E-3</v>
      </c>
      <c r="V57" s="23">
        <f t="shared" si="10"/>
        <v>5.2093973442288048E-2</v>
      </c>
      <c r="W57" s="24">
        <f t="shared" si="7"/>
        <v>2.1027730319358655E-3</v>
      </c>
      <c r="X57" s="24">
        <f t="shared" si="3"/>
        <v>1.3433425523508494E-2</v>
      </c>
      <c r="Y57" s="23">
        <f t="shared" si="4"/>
        <v>0.99789722696806415</v>
      </c>
    </row>
    <row r="58" spans="1:25">
      <c r="A58">
        <v>57</v>
      </c>
      <c r="B58" t="s">
        <v>964</v>
      </c>
      <c r="C58" t="s">
        <v>535</v>
      </c>
      <c r="D58" s="4">
        <v>45442.669444444444</v>
      </c>
      <c r="E58" s="10" t="s">
        <v>826</v>
      </c>
      <c r="F58" s="7">
        <v>867</v>
      </c>
      <c r="G58" s="7">
        <v>44</v>
      </c>
      <c r="H58" s="7">
        <v>5</v>
      </c>
      <c r="I58" s="7">
        <v>39</v>
      </c>
      <c r="J58" s="7">
        <v>823</v>
      </c>
      <c r="K58" s="7">
        <v>397</v>
      </c>
      <c r="L58" s="7">
        <v>290</v>
      </c>
      <c r="M58" s="7">
        <v>32</v>
      </c>
      <c r="N58" s="7">
        <v>24</v>
      </c>
      <c r="O58" s="7">
        <v>0</v>
      </c>
      <c r="P58" s="7">
        <v>324</v>
      </c>
      <c r="Q58" s="22">
        <f t="shared" si="0"/>
        <v>0.35236938031591736</v>
      </c>
      <c r="R58" s="22">
        <f t="shared" si="1"/>
        <v>0.39368165249088699</v>
      </c>
      <c r="S58" s="22" t="e">
        <f t="shared" si="2"/>
        <v>#N/A</v>
      </c>
      <c r="T58" s="22" t="e">
        <f t="shared" si="5"/>
        <v>#N/A</v>
      </c>
      <c r="U58" s="22">
        <f t="shared" si="9"/>
        <v>0</v>
      </c>
      <c r="V58" s="23">
        <f t="shared" si="10"/>
        <v>8.2758620689655171E-2</v>
      </c>
      <c r="W58" s="24">
        <f t="shared" si="7"/>
        <v>5.0749711649365627E-2</v>
      </c>
      <c r="X58" s="24">
        <f t="shared" si="3"/>
        <v>2.9161603888213851E-2</v>
      </c>
      <c r="Y58" s="23">
        <f t="shared" si="4"/>
        <v>0.94925028835063441</v>
      </c>
    </row>
    <row r="59" spans="1:25">
      <c r="A59">
        <v>58</v>
      </c>
      <c r="B59" t="s">
        <v>963</v>
      </c>
      <c r="C59" t="s">
        <v>528</v>
      </c>
      <c r="D59" s="4">
        <v>45449.68953703704</v>
      </c>
      <c r="E59" s="10" t="s">
        <v>827</v>
      </c>
      <c r="F59" s="7">
        <v>896</v>
      </c>
      <c r="G59" s="7">
        <v>11</v>
      </c>
      <c r="H59" s="7">
        <v>4</v>
      </c>
      <c r="I59" s="7">
        <v>7</v>
      </c>
      <c r="J59" s="7">
        <v>885</v>
      </c>
      <c r="K59" s="7">
        <v>359</v>
      </c>
      <c r="L59" s="7">
        <v>227</v>
      </c>
      <c r="M59" s="7">
        <v>75</v>
      </c>
      <c r="N59" s="7">
        <v>27</v>
      </c>
      <c r="O59" s="7">
        <v>2</v>
      </c>
      <c r="P59" s="7">
        <v>353</v>
      </c>
      <c r="Q59" s="22">
        <f t="shared" si="0"/>
        <v>0.25649717514124293</v>
      </c>
      <c r="R59" s="22">
        <f t="shared" si="1"/>
        <v>0.39887005649717516</v>
      </c>
      <c r="S59" s="22" t="e">
        <f t="shared" si="2"/>
        <v>#N/A</v>
      </c>
      <c r="T59" s="22" t="e">
        <f t="shared" si="5"/>
        <v>#N/A</v>
      </c>
      <c r="U59" s="22">
        <f t="shared" si="9"/>
        <v>2.2598870056497176E-3</v>
      </c>
      <c r="V59" s="23">
        <f t="shared" si="10"/>
        <v>0.11894273127753303</v>
      </c>
      <c r="W59" s="24">
        <f t="shared" si="7"/>
        <v>1.2276785714285714E-2</v>
      </c>
      <c r="X59" s="24">
        <f t="shared" si="3"/>
        <v>3.0508474576271188E-2</v>
      </c>
      <c r="Y59" s="23">
        <f t="shared" si="4"/>
        <v>0.9877232142857143</v>
      </c>
    </row>
    <row r="60" spans="1:25">
      <c r="A60">
        <v>59</v>
      </c>
      <c r="B60" t="s">
        <v>1053</v>
      </c>
      <c r="C60" t="s">
        <v>643</v>
      </c>
      <c r="D60" s="4">
        <v>45450.520833333336</v>
      </c>
      <c r="E60" s="10" t="s">
        <v>820</v>
      </c>
      <c r="F60" s="7">
        <v>3853</v>
      </c>
      <c r="G60" s="7">
        <v>23</v>
      </c>
      <c r="H60" s="7">
        <v>5</v>
      </c>
      <c r="I60" s="7">
        <v>18</v>
      </c>
      <c r="J60" s="7">
        <v>3830</v>
      </c>
      <c r="K60" s="7">
        <v>1877</v>
      </c>
      <c r="L60" s="7">
        <v>1139</v>
      </c>
      <c r="M60" s="7">
        <v>246</v>
      </c>
      <c r="N60" s="7">
        <v>100</v>
      </c>
      <c r="O60" s="7">
        <v>9</v>
      </c>
      <c r="P60" s="7">
        <v>1235</v>
      </c>
      <c r="Q60" s="22">
        <f t="shared" si="0"/>
        <v>0.29738903394255872</v>
      </c>
      <c r="R60" s="22">
        <f t="shared" si="1"/>
        <v>0.32245430809399478</v>
      </c>
      <c r="S60" s="22" t="e">
        <f t="shared" si="2"/>
        <v>#N/A</v>
      </c>
      <c r="T60" s="22" t="e">
        <f t="shared" si="5"/>
        <v>#N/A</v>
      </c>
      <c r="U60" s="22">
        <f t="shared" si="9"/>
        <v>2.3498694516971281E-3</v>
      </c>
      <c r="V60" s="23">
        <f t="shared" si="10"/>
        <v>8.7796312554872691E-2</v>
      </c>
      <c r="W60" s="24">
        <f t="shared" si="7"/>
        <v>5.9693745133662084E-3</v>
      </c>
      <c r="X60" s="24">
        <f t="shared" si="3"/>
        <v>2.6109660574412531E-2</v>
      </c>
      <c r="Y60" s="23">
        <f t="shared" si="4"/>
        <v>0.99403062548663379</v>
      </c>
    </row>
    <row r="61" spans="1:25">
      <c r="A61">
        <v>60</v>
      </c>
      <c r="B61" t="s">
        <v>1050</v>
      </c>
      <c r="C61" t="s">
        <v>654</v>
      </c>
      <c r="D61" s="4">
        <v>45452.59375</v>
      </c>
      <c r="E61" s="10" t="s">
        <v>828</v>
      </c>
      <c r="F61" s="7">
        <v>7597</v>
      </c>
      <c r="G61" s="7">
        <v>35</v>
      </c>
      <c r="H61" s="7">
        <v>11</v>
      </c>
      <c r="I61" s="7">
        <v>24</v>
      </c>
      <c r="J61" s="7">
        <v>7562</v>
      </c>
      <c r="K61" s="7">
        <v>2840</v>
      </c>
      <c r="L61" s="7">
        <v>2004</v>
      </c>
      <c r="M61" s="7">
        <v>3357</v>
      </c>
      <c r="N61" s="7">
        <v>224</v>
      </c>
      <c r="O61" s="7">
        <v>4</v>
      </c>
      <c r="P61" s="7">
        <v>3456</v>
      </c>
      <c r="Q61" s="22">
        <f t="shared" si="0"/>
        <v>0.26500925681036763</v>
      </c>
      <c r="R61" s="22">
        <f t="shared" si="1"/>
        <v>0.45702195186458611</v>
      </c>
      <c r="S61" s="22" t="e">
        <f t="shared" si="2"/>
        <v>#N/A</v>
      </c>
      <c r="T61" s="22" t="e">
        <f t="shared" si="5"/>
        <v>#N/A</v>
      </c>
      <c r="U61" s="22">
        <f t="shared" si="9"/>
        <v>5.2896059243586358E-4</v>
      </c>
      <c r="V61" s="23">
        <f t="shared" si="10"/>
        <v>0.11177644710578842</v>
      </c>
      <c r="W61" s="24">
        <f t="shared" si="7"/>
        <v>4.6070817427932079E-3</v>
      </c>
      <c r="X61" s="24">
        <f t="shared" si="3"/>
        <v>2.9621793176408357E-2</v>
      </c>
      <c r="Y61" s="23">
        <f t="shared" si="4"/>
        <v>0.99539291825720677</v>
      </c>
    </row>
    <row r="62" spans="1:25">
      <c r="A62">
        <v>61</v>
      </c>
      <c r="B62" t="s">
        <v>697</v>
      </c>
      <c r="C62" t="s">
        <v>691</v>
      </c>
      <c r="D62" s="4">
        <v>45453.531631944446</v>
      </c>
      <c r="E62" s="10" t="s">
        <v>829</v>
      </c>
      <c r="F62" s="7">
        <v>28</v>
      </c>
      <c r="G62" s="7">
        <v>0</v>
      </c>
      <c r="H62" s="7">
        <v>0</v>
      </c>
      <c r="I62" s="7">
        <v>0</v>
      </c>
      <c r="J62" s="7">
        <v>28</v>
      </c>
      <c r="K62" s="7">
        <v>271</v>
      </c>
      <c r="L62" s="7">
        <v>23</v>
      </c>
      <c r="M62" s="7">
        <v>46</v>
      </c>
      <c r="N62" s="7">
        <v>18</v>
      </c>
      <c r="O62" s="7">
        <v>0</v>
      </c>
      <c r="P62" s="7">
        <v>18</v>
      </c>
      <c r="Q62" s="22">
        <f t="shared" si="0"/>
        <v>0.8214285714285714</v>
      </c>
      <c r="R62" s="22">
        <f t="shared" si="1"/>
        <v>0.6428571428571429</v>
      </c>
      <c r="S62" s="22" t="e">
        <f t="shared" si="2"/>
        <v>#N/A</v>
      </c>
      <c r="T62" s="22" t="e">
        <f t="shared" si="5"/>
        <v>#N/A</v>
      </c>
      <c r="U62" s="22">
        <f t="shared" si="9"/>
        <v>0</v>
      </c>
      <c r="V62" s="23">
        <f t="shared" si="10"/>
        <v>0.78260869565217395</v>
      </c>
      <c r="W62" s="24">
        <f t="shared" si="7"/>
        <v>0</v>
      </c>
      <c r="X62" s="24">
        <f t="shared" si="3"/>
        <v>0.6428571428571429</v>
      </c>
      <c r="Y62" s="23">
        <f t="shared" si="4"/>
        <v>1</v>
      </c>
    </row>
    <row r="63" spans="1:25">
      <c r="A63">
        <v>62</v>
      </c>
      <c r="B63" t="s">
        <v>965</v>
      </c>
      <c r="C63" t="s">
        <v>527</v>
      </c>
      <c r="D63" s="4">
        <v>45456.677083333336</v>
      </c>
      <c r="E63" s="10" t="s">
        <v>795</v>
      </c>
      <c r="F63" s="7">
        <v>873</v>
      </c>
      <c r="G63" s="7">
        <v>2</v>
      </c>
      <c r="H63" s="7">
        <v>1</v>
      </c>
      <c r="I63" s="7">
        <v>1</v>
      </c>
      <c r="J63" s="7">
        <v>871</v>
      </c>
      <c r="K63" s="7">
        <v>255</v>
      </c>
      <c r="L63" s="7">
        <v>179</v>
      </c>
      <c r="M63" s="7">
        <v>18</v>
      </c>
      <c r="N63" s="7">
        <v>10</v>
      </c>
      <c r="O63" s="7">
        <v>1</v>
      </c>
      <c r="P63" s="7">
        <v>330</v>
      </c>
      <c r="Q63" s="22">
        <f t="shared" si="0"/>
        <v>0.20551090700344432</v>
      </c>
      <c r="R63" s="22">
        <f t="shared" si="1"/>
        <v>0.37887485648679681</v>
      </c>
      <c r="S63" s="22" t="e">
        <f t="shared" si="2"/>
        <v>#N/A</v>
      </c>
      <c r="T63" s="22" t="e">
        <f t="shared" si="5"/>
        <v>#N/A</v>
      </c>
      <c r="U63" s="22">
        <f t="shared" si="9"/>
        <v>1.148105625717566E-3</v>
      </c>
      <c r="V63" s="23">
        <f t="shared" si="10"/>
        <v>5.5865921787709494E-2</v>
      </c>
      <c r="W63" s="24">
        <f t="shared" si="7"/>
        <v>2.2909507445589921E-3</v>
      </c>
      <c r="X63" s="24">
        <f t="shared" si="3"/>
        <v>1.1481056257175661E-2</v>
      </c>
      <c r="Y63" s="23">
        <f t="shared" si="4"/>
        <v>0.99770904925544102</v>
      </c>
    </row>
    <row r="64" spans="1:25">
      <c r="A64">
        <v>63</v>
      </c>
      <c r="B64" t="s">
        <v>1054</v>
      </c>
      <c r="C64" t="s">
        <v>632</v>
      </c>
      <c r="D64" s="4">
        <v>45457.5</v>
      </c>
      <c r="E64" s="10" t="s">
        <v>830</v>
      </c>
      <c r="F64" s="7">
        <v>148</v>
      </c>
      <c r="G64" s="7">
        <v>0</v>
      </c>
      <c r="H64" s="7">
        <v>0</v>
      </c>
      <c r="I64" s="7">
        <v>0</v>
      </c>
      <c r="J64" s="7">
        <v>148</v>
      </c>
      <c r="K64" s="7">
        <v>72</v>
      </c>
      <c r="L64" s="7">
        <v>59</v>
      </c>
      <c r="M64" s="7">
        <v>13</v>
      </c>
      <c r="N64" s="7">
        <v>2</v>
      </c>
      <c r="O64" s="7">
        <v>0</v>
      </c>
      <c r="P64" s="7">
        <v>43</v>
      </c>
      <c r="Q64" s="22">
        <f t="shared" si="0"/>
        <v>0.39864864864864863</v>
      </c>
      <c r="R64" s="22">
        <f t="shared" si="1"/>
        <v>0.29054054054054052</v>
      </c>
      <c r="S64" s="22" t="e">
        <f t="shared" si="2"/>
        <v>#N/A</v>
      </c>
      <c r="T64" s="22" t="e">
        <f t="shared" si="5"/>
        <v>#N/A</v>
      </c>
      <c r="U64" s="22">
        <f t="shared" si="9"/>
        <v>0</v>
      </c>
      <c r="V64" s="23">
        <f t="shared" si="10"/>
        <v>3.3898305084745763E-2</v>
      </c>
      <c r="W64" s="24">
        <f t="shared" si="7"/>
        <v>0</v>
      </c>
      <c r="X64" s="24">
        <f t="shared" si="3"/>
        <v>1.3513513513513514E-2</v>
      </c>
      <c r="Y64" s="23">
        <f t="shared" si="4"/>
        <v>1</v>
      </c>
    </row>
    <row r="65" spans="1:25">
      <c r="A65">
        <v>64</v>
      </c>
      <c r="B65" t="s">
        <v>1054</v>
      </c>
      <c r="C65" t="s">
        <v>631</v>
      </c>
      <c r="D65" s="4">
        <v>45457.5</v>
      </c>
      <c r="E65" s="10" t="s">
        <v>830</v>
      </c>
      <c r="F65" s="7">
        <v>149</v>
      </c>
      <c r="G65" s="7">
        <v>0</v>
      </c>
      <c r="H65" s="7">
        <v>0</v>
      </c>
      <c r="I65" s="7">
        <v>0</v>
      </c>
      <c r="J65" s="7">
        <v>149</v>
      </c>
      <c r="K65" s="7">
        <v>88</v>
      </c>
      <c r="L65" s="7">
        <v>63</v>
      </c>
      <c r="M65" s="7">
        <v>3</v>
      </c>
      <c r="N65" s="7">
        <v>2</v>
      </c>
      <c r="O65" s="7">
        <v>1</v>
      </c>
      <c r="P65" s="7">
        <v>34</v>
      </c>
      <c r="Q65" s="22">
        <f t="shared" si="0"/>
        <v>0.42281879194630873</v>
      </c>
      <c r="R65" s="22">
        <f t="shared" si="1"/>
        <v>0.22818791946308725</v>
      </c>
      <c r="S65" s="22" t="e">
        <f t="shared" si="2"/>
        <v>#N/A</v>
      </c>
      <c r="T65" s="22" t="e">
        <f t="shared" si="5"/>
        <v>#N/A</v>
      </c>
      <c r="U65" s="22">
        <f t="shared" si="9"/>
        <v>6.7114093959731542E-3</v>
      </c>
      <c r="V65" s="23">
        <f t="shared" si="10"/>
        <v>3.1746031746031744E-2</v>
      </c>
      <c r="W65" s="24">
        <f t="shared" si="7"/>
        <v>0</v>
      </c>
      <c r="X65" s="24">
        <f t="shared" si="3"/>
        <v>1.3422818791946308E-2</v>
      </c>
      <c r="Y65" s="23">
        <f t="shared" si="4"/>
        <v>1</v>
      </c>
    </row>
    <row r="66" spans="1:25">
      <c r="A66">
        <v>65</v>
      </c>
      <c r="B66" t="s">
        <v>1054</v>
      </c>
      <c r="C66" t="s">
        <v>633</v>
      </c>
      <c r="D66" s="4">
        <v>45457.583333333336</v>
      </c>
      <c r="E66" s="10" t="s">
        <v>819</v>
      </c>
      <c r="F66" s="7">
        <v>143</v>
      </c>
      <c r="G66" s="7">
        <v>0</v>
      </c>
      <c r="H66" s="7">
        <v>0</v>
      </c>
      <c r="I66" s="7">
        <v>0</v>
      </c>
      <c r="J66" s="7">
        <v>143</v>
      </c>
      <c r="K66" s="7">
        <v>58</v>
      </c>
      <c r="L66" s="7">
        <v>44</v>
      </c>
      <c r="M66" s="7">
        <v>4</v>
      </c>
      <c r="N66" s="7">
        <v>4</v>
      </c>
      <c r="O66" s="7">
        <v>0</v>
      </c>
      <c r="P66" s="7">
        <v>17</v>
      </c>
      <c r="Q66" s="22">
        <f t="shared" ref="Q66:Q129" si="11">SUM(L66/J66)</f>
        <v>0.30769230769230771</v>
      </c>
      <c r="R66" s="22">
        <f t="shared" ref="R66:R129" si="12">SUM(P66/J66)</f>
        <v>0.11888111888111888</v>
      </c>
      <c r="S66" s="22" t="e">
        <f t="shared" ref="S66:S129" si="13">IF(R66=MAX($R$2:$R$225),R66,NA())</f>
        <v>#N/A</v>
      </c>
      <c r="T66" s="22" t="e">
        <f t="shared" ref="T66:T129" si="14">IF(R66=_xlfn.MINIFS($R$2:$R$225,$R$2:$R$225,"&lt;&gt;0"),R66,NA())</f>
        <v>#N/A</v>
      </c>
      <c r="U66" s="22">
        <f t="shared" ref="U66:U129" si="15">SUM(O66/J66)</f>
        <v>0</v>
      </c>
      <c r="V66" s="23">
        <f t="shared" ref="V66:V129" si="16">SUM(N66/L66)</f>
        <v>9.0909090909090912E-2</v>
      </c>
      <c r="W66" s="24">
        <f t="shared" ref="W66:W129" si="17">SUM(G66/F66)</f>
        <v>0</v>
      </c>
      <c r="X66" s="24">
        <f t="shared" ref="X66:X129" si="18">SUM(N66/J66)</f>
        <v>2.7972027972027972E-2</v>
      </c>
      <c r="Y66" s="23">
        <f t="shared" ref="Y66:Y129" si="19">SUM(J66/F66)</f>
        <v>1</v>
      </c>
    </row>
    <row r="67" spans="1:25">
      <c r="A67">
        <v>66</v>
      </c>
      <c r="B67" t="s">
        <v>1054</v>
      </c>
      <c r="C67" t="s">
        <v>631</v>
      </c>
      <c r="D67" s="4">
        <v>45457.583333333336</v>
      </c>
      <c r="E67" s="10" t="s">
        <v>819</v>
      </c>
      <c r="F67" s="7">
        <v>144</v>
      </c>
      <c r="G67" s="7">
        <v>0</v>
      </c>
      <c r="H67" s="7">
        <v>0</v>
      </c>
      <c r="I67" s="7">
        <v>0</v>
      </c>
      <c r="J67" s="7">
        <v>144</v>
      </c>
      <c r="K67" s="7">
        <v>85</v>
      </c>
      <c r="L67" s="7">
        <v>44</v>
      </c>
      <c r="M67" s="7">
        <v>5</v>
      </c>
      <c r="N67" s="7">
        <v>3</v>
      </c>
      <c r="O67" s="7">
        <v>2</v>
      </c>
      <c r="P67" s="7">
        <v>54</v>
      </c>
      <c r="Q67" s="22">
        <f t="shared" si="11"/>
        <v>0.30555555555555558</v>
      </c>
      <c r="R67" s="22">
        <f t="shared" si="12"/>
        <v>0.375</v>
      </c>
      <c r="S67" s="22" t="e">
        <f t="shared" si="13"/>
        <v>#N/A</v>
      </c>
      <c r="T67" s="22" t="e">
        <f t="shared" si="14"/>
        <v>#N/A</v>
      </c>
      <c r="U67" s="22">
        <f t="shared" si="15"/>
        <v>1.3888888888888888E-2</v>
      </c>
      <c r="V67" s="23">
        <f t="shared" si="16"/>
        <v>6.8181818181818177E-2</v>
      </c>
      <c r="W67" s="24">
        <f t="shared" si="17"/>
        <v>0</v>
      </c>
      <c r="X67" s="24">
        <f t="shared" si="18"/>
        <v>2.0833333333333332E-2</v>
      </c>
      <c r="Y67" s="23">
        <f t="shared" si="19"/>
        <v>1</v>
      </c>
    </row>
    <row r="68" spans="1:25">
      <c r="A68">
        <v>67</v>
      </c>
      <c r="B68" t="s">
        <v>1054</v>
      </c>
      <c r="C68" t="s">
        <v>632</v>
      </c>
      <c r="D68" s="4">
        <v>45457.583773148152</v>
      </c>
      <c r="E68" s="10" t="s">
        <v>819</v>
      </c>
      <c r="F68" s="7">
        <v>889</v>
      </c>
      <c r="G68" s="7">
        <v>1</v>
      </c>
      <c r="H68" s="7">
        <v>1</v>
      </c>
      <c r="I68" s="7">
        <v>0</v>
      </c>
      <c r="J68" s="7">
        <v>888</v>
      </c>
      <c r="K68" s="7">
        <v>437</v>
      </c>
      <c r="L68" s="7">
        <v>304</v>
      </c>
      <c r="M68" s="7">
        <v>24</v>
      </c>
      <c r="N68" s="7">
        <v>5</v>
      </c>
      <c r="O68" s="7">
        <v>0</v>
      </c>
      <c r="P68" s="7">
        <v>67</v>
      </c>
      <c r="Q68" s="22">
        <f t="shared" si="11"/>
        <v>0.34234234234234234</v>
      </c>
      <c r="R68" s="22">
        <f t="shared" si="12"/>
        <v>7.5450450450450457E-2</v>
      </c>
      <c r="S68" s="22" t="e">
        <f t="shared" si="13"/>
        <v>#N/A</v>
      </c>
      <c r="T68" s="22" t="e">
        <f t="shared" si="14"/>
        <v>#N/A</v>
      </c>
      <c r="U68" s="22">
        <f t="shared" si="15"/>
        <v>0</v>
      </c>
      <c r="V68" s="23">
        <f t="shared" si="16"/>
        <v>1.6447368421052631E-2</v>
      </c>
      <c r="W68" s="24">
        <f t="shared" si="17"/>
        <v>1.1248593925759281E-3</v>
      </c>
      <c r="X68" s="24">
        <f t="shared" si="18"/>
        <v>5.6306306306306304E-3</v>
      </c>
      <c r="Y68" s="23">
        <f t="shared" si="19"/>
        <v>0.99887514060742411</v>
      </c>
    </row>
    <row r="69" spans="1:25">
      <c r="A69">
        <v>68</v>
      </c>
      <c r="B69" t="s">
        <v>1054</v>
      </c>
      <c r="C69" t="s">
        <v>631</v>
      </c>
      <c r="D69" s="4">
        <v>45457.667060185187</v>
      </c>
      <c r="E69" s="10" t="s">
        <v>791</v>
      </c>
      <c r="F69" s="7">
        <v>859</v>
      </c>
      <c r="G69" s="7">
        <v>0</v>
      </c>
      <c r="H69" s="7">
        <v>0</v>
      </c>
      <c r="I69" s="7">
        <v>0</v>
      </c>
      <c r="J69" s="7">
        <v>859</v>
      </c>
      <c r="K69" s="7">
        <v>347</v>
      </c>
      <c r="L69" s="7">
        <v>248</v>
      </c>
      <c r="M69" s="7">
        <v>46</v>
      </c>
      <c r="N69" s="7">
        <v>20</v>
      </c>
      <c r="O69" s="7">
        <v>0</v>
      </c>
      <c r="P69" s="7">
        <v>256</v>
      </c>
      <c r="Q69" s="22">
        <f t="shared" si="11"/>
        <v>0.28870779976717115</v>
      </c>
      <c r="R69" s="22">
        <f t="shared" si="12"/>
        <v>0.29802095459837019</v>
      </c>
      <c r="S69" s="22" t="e">
        <f t="shared" si="13"/>
        <v>#N/A</v>
      </c>
      <c r="T69" s="22" t="e">
        <f t="shared" si="14"/>
        <v>#N/A</v>
      </c>
      <c r="U69" s="22">
        <f t="shared" si="15"/>
        <v>0</v>
      </c>
      <c r="V69" s="23">
        <f t="shared" si="16"/>
        <v>8.0645161290322578E-2</v>
      </c>
      <c r="W69" s="24">
        <f t="shared" si="17"/>
        <v>0</v>
      </c>
      <c r="X69" s="24">
        <f t="shared" si="18"/>
        <v>2.3282887077997673E-2</v>
      </c>
      <c r="Y69" s="23">
        <f t="shared" si="19"/>
        <v>1</v>
      </c>
    </row>
    <row r="70" spans="1:25">
      <c r="A70">
        <v>69</v>
      </c>
      <c r="B70" t="s">
        <v>965</v>
      </c>
      <c r="C70" t="s">
        <v>526</v>
      </c>
      <c r="D70" s="4">
        <v>45459.583414351851</v>
      </c>
      <c r="E70" s="10" t="s">
        <v>819</v>
      </c>
      <c r="F70" s="7">
        <v>867</v>
      </c>
      <c r="G70" s="7">
        <v>2</v>
      </c>
      <c r="H70" s="7">
        <v>0</v>
      </c>
      <c r="I70" s="7">
        <v>2</v>
      </c>
      <c r="J70" s="7">
        <v>865</v>
      </c>
      <c r="K70" s="7">
        <v>302</v>
      </c>
      <c r="L70" s="7">
        <v>216</v>
      </c>
      <c r="M70" s="7">
        <v>26</v>
      </c>
      <c r="N70" s="7">
        <v>20</v>
      </c>
      <c r="O70" s="7">
        <v>2</v>
      </c>
      <c r="P70" s="7">
        <v>324</v>
      </c>
      <c r="Q70" s="22">
        <f t="shared" si="11"/>
        <v>0.24971098265895952</v>
      </c>
      <c r="R70" s="22">
        <f t="shared" si="12"/>
        <v>0.37456647398843929</v>
      </c>
      <c r="S70" s="22" t="e">
        <f t="shared" si="13"/>
        <v>#N/A</v>
      </c>
      <c r="T70" s="22" t="e">
        <f t="shared" si="14"/>
        <v>#N/A</v>
      </c>
      <c r="U70" s="22">
        <f t="shared" si="15"/>
        <v>2.3121387283236996E-3</v>
      </c>
      <c r="V70" s="23">
        <f t="shared" si="16"/>
        <v>9.2592592592592587E-2</v>
      </c>
      <c r="W70" s="24">
        <f t="shared" si="17"/>
        <v>2.306805074971165E-3</v>
      </c>
      <c r="X70" s="24">
        <f t="shared" si="18"/>
        <v>2.3121387283236993E-2</v>
      </c>
      <c r="Y70" s="23">
        <f t="shared" si="19"/>
        <v>0.99769319492502884</v>
      </c>
    </row>
    <row r="71" spans="1:25">
      <c r="A71">
        <v>70</v>
      </c>
      <c r="B71" t="s">
        <v>1052</v>
      </c>
      <c r="C71" t="s">
        <v>564</v>
      </c>
      <c r="D71" s="4">
        <v>45459.603472222225</v>
      </c>
      <c r="E71" s="10" t="s">
        <v>831</v>
      </c>
      <c r="F71" s="7">
        <v>688</v>
      </c>
      <c r="G71" s="7">
        <v>4</v>
      </c>
      <c r="H71" s="7">
        <v>0</v>
      </c>
      <c r="I71" s="7">
        <v>4</v>
      </c>
      <c r="J71" s="7">
        <v>684</v>
      </c>
      <c r="K71" s="7">
        <v>334</v>
      </c>
      <c r="L71" s="7">
        <v>244</v>
      </c>
      <c r="M71" s="7">
        <v>58</v>
      </c>
      <c r="N71" s="7">
        <v>19</v>
      </c>
      <c r="O71" s="7">
        <v>0</v>
      </c>
      <c r="P71" s="7">
        <v>245</v>
      </c>
      <c r="Q71" s="22">
        <f t="shared" si="11"/>
        <v>0.35672514619883039</v>
      </c>
      <c r="R71" s="22">
        <f t="shared" si="12"/>
        <v>0.358187134502924</v>
      </c>
      <c r="S71" s="22" t="e">
        <f t="shared" si="13"/>
        <v>#N/A</v>
      </c>
      <c r="T71" s="22" t="e">
        <f t="shared" si="14"/>
        <v>#N/A</v>
      </c>
      <c r="U71" s="22">
        <f t="shared" si="15"/>
        <v>0</v>
      </c>
      <c r="V71" s="23">
        <f t="shared" si="16"/>
        <v>7.7868852459016397E-2</v>
      </c>
      <c r="W71" s="24">
        <f t="shared" si="17"/>
        <v>5.8139534883720929E-3</v>
      </c>
      <c r="X71" s="24">
        <f t="shared" si="18"/>
        <v>2.7777777777777776E-2</v>
      </c>
      <c r="Y71" s="23">
        <f t="shared" si="19"/>
        <v>0.9941860465116279</v>
      </c>
    </row>
    <row r="72" spans="1:25">
      <c r="A72">
        <v>71</v>
      </c>
      <c r="B72" t="s">
        <v>964</v>
      </c>
      <c r="C72" t="s">
        <v>534</v>
      </c>
      <c r="D72" s="4">
        <v>45463.666666666664</v>
      </c>
      <c r="E72" s="10" t="s">
        <v>791</v>
      </c>
      <c r="F72" s="7">
        <v>779</v>
      </c>
      <c r="G72" s="7">
        <v>9</v>
      </c>
      <c r="H72" s="7">
        <v>3</v>
      </c>
      <c r="I72" s="7">
        <v>6</v>
      </c>
      <c r="J72" s="7">
        <v>770</v>
      </c>
      <c r="K72" s="7">
        <v>270</v>
      </c>
      <c r="L72" s="7">
        <v>191</v>
      </c>
      <c r="M72" s="7">
        <v>40</v>
      </c>
      <c r="N72" s="7">
        <v>20</v>
      </c>
      <c r="O72" s="7">
        <v>2</v>
      </c>
      <c r="P72" s="7">
        <v>236</v>
      </c>
      <c r="Q72" s="22">
        <f t="shared" si="11"/>
        <v>0.24805194805194805</v>
      </c>
      <c r="R72" s="22">
        <f t="shared" si="12"/>
        <v>0.30649350649350648</v>
      </c>
      <c r="S72" s="22" t="e">
        <f t="shared" si="13"/>
        <v>#N/A</v>
      </c>
      <c r="T72" s="22" t="e">
        <f t="shared" si="14"/>
        <v>#N/A</v>
      </c>
      <c r="U72" s="22">
        <f t="shared" si="15"/>
        <v>2.5974025974025974E-3</v>
      </c>
      <c r="V72" s="23">
        <f t="shared" si="16"/>
        <v>0.10471204188481675</v>
      </c>
      <c r="W72" s="24">
        <f t="shared" si="17"/>
        <v>1.1553273427471117E-2</v>
      </c>
      <c r="X72" s="24">
        <f t="shared" si="18"/>
        <v>2.5974025974025976E-2</v>
      </c>
      <c r="Y72" s="23">
        <f t="shared" si="19"/>
        <v>0.98844672657252886</v>
      </c>
    </row>
    <row r="73" spans="1:25">
      <c r="A73">
        <v>72</v>
      </c>
      <c r="B73" t="s">
        <v>1054</v>
      </c>
      <c r="C73" t="s">
        <v>692</v>
      </c>
      <c r="D73" s="4">
        <v>45465.628472222219</v>
      </c>
      <c r="E73" s="10" t="s">
        <v>832</v>
      </c>
      <c r="F73" s="7">
        <v>3790</v>
      </c>
      <c r="G73" s="7">
        <v>14</v>
      </c>
      <c r="H73" s="7">
        <v>10</v>
      </c>
      <c r="I73" s="7">
        <v>4</v>
      </c>
      <c r="J73" s="7">
        <v>3776</v>
      </c>
      <c r="K73" s="7">
        <v>1376</v>
      </c>
      <c r="L73" s="7">
        <v>985</v>
      </c>
      <c r="M73" s="7">
        <v>115</v>
      </c>
      <c r="N73" s="7">
        <v>35</v>
      </c>
      <c r="O73" s="7">
        <v>3</v>
      </c>
      <c r="P73" s="7">
        <v>1760</v>
      </c>
      <c r="Q73" s="22">
        <f t="shared" si="11"/>
        <v>0.26085805084745761</v>
      </c>
      <c r="R73" s="22">
        <f t="shared" si="12"/>
        <v>0.46610169491525422</v>
      </c>
      <c r="S73" s="22" t="e">
        <f t="shared" si="13"/>
        <v>#N/A</v>
      </c>
      <c r="T73" s="22" t="e">
        <f t="shared" si="14"/>
        <v>#N/A</v>
      </c>
      <c r="U73" s="22">
        <f t="shared" si="15"/>
        <v>7.9449152542372887E-4</v>
      </c>
      <c r="V73" s="23">
        <f t="shared" si="16"/>
        <v>3.553299492385787E-2</v>
      </c>
      <c r="W73" s="24">
        <f t="shared" si="17"/>
        <v>3.6939313984168864E-3</v>
      </c>
      <c r="X73" s="24">
        <f t="shared" si="18"/>
        <v>9.2690677966101691E-3</v>
      </c>
      <c r="Y73" s="23">
        <f t="shared" si="19"/>
        <v>0.99630606860158311</v>
      </c>
    </row>
    <row r="74" spans="1:25">
      <c r="A74">
        <v>73</v>
      </c>
      <c r="B74" t="s">
        <v>1050</v>
      </c>
      <c r="C74" t="s">
        <v>653</v>
      </c>
      <c r="D74" s="4">
        <v>45466.730497685188</v>
      </c>
      <c r="E74" s="10" t="s">
        <v>833</v>
      </c>
      <c r="F74" s="7">
        <v>9138</v>
      </c>
      <c r="G74" s="7">
        <v>78</v>
      </c>
      <c r="H74" s="7">
        <v>23</v>
      </c>
      <c r="I74" s="7">
        <v>55</v>
      </c>
      <c r="J74" s="7">
        <v>9060</v>
      </c>
      <c r="K74" s="7">
        <v>3002</v>
      </c>
      <c r="L74" s="7">
        <v>2259</v>
      </c>
      <c r="M74" s="7">
        <v>5910</v>
      </c>
      <c r="N74" s="7">
        <v>1524</v>
      </c>
      <c r="O74" s="7">
        <v>16</v>
      </c>
      <c r="P74" s="7">
        <v>1678</v>
      </c>
      <c r="Q74" s="22">
        <f t="shared" si="11"/>
        <v>0.24933774834437086</v>
      </c>
      <c r="R74" s="22">
        <f t="shared" si="12"/>
        <v>0.18520971302428257</v>
      </c>
      <c r="S74" s="22" t="e">
        <f t="shared" si="13"/>
        <v>#N/A</v>
      </c>
      <c r="T74" s="22" t="e">
        <f t="shared" si="14"/>
        <v>#N/A</v>
      </c>
      <c r="U74" s="22">
        <f t="shared" si="15"/>
        <v>1.7660044150110375E-3</v>
      </c>
      <c r="V74" s="23">
        <f t="shared" si="16"/>
        <v>0.67463479415670646</v>
      </c>
      <c r="W74" s="24">
        <f t="shared" si="17"/>
        <v>8.5357846355876565E-3</v>
      </c>
      <c r="X74" s="24">
        <f t="shared" si="18"/>
        <v>0.16821192052980133</v>
      </c>
      <c r="Y74" s="23">
        <f t="shared" si="19"/>
        <v>0.99146421536441232</v>
      </c>
    </row>
    <row r="75" spans="1:25">
      <c r="A75">
        <v>74</v>
      </c>
      <c r="B75" t="s">
        <v>966</v>
      </c>
      <c r="C75" t="s">
        <v>546</v>
      </c>
      <c r="D75" s="4">
        <v>45470.583333333336</v>
      </c>
      <c r="E75" s="10" t="s">
        <v>819</v>
      </c>
      <c r="F75" s="7">
        <v>9624</v>
      </c>
      <c r="G75" s="7">
        <v>35</v>
      </c>
      <c r="H75" s="7">
        <v>22</v>
      </c>
      <c r="I75" s="7">
        <v>13</v>
      </c>
      <c r="J75" s="7">
        <v>9589</v>
      </c>
      <c r="K75" s="7">
        <v>3935</v>
      </c>
      <c r="L75" s="7">
        <v>2461</v>
      </c>
      <c r="M75" s="7">
        <v>2338</v>
      </c>
      <c r="N75" s="7">
        <v>1650</v>
      </c>
      <c r="O75" s="7">
        <v>9</v>
      </c>
      <c r="P75" s="7">
        <v>2345</v>
      </c>
      <c r="Q75" s="22">
        <f t="shared" si="11"/>
        <v>0.25664824277818332</v>
      </c>
      <c r="R75" s="22">
        <f t="shared" si="12"/>
        <v>0.24455104807592032</v>
      </c>
      <c r="S75" s="22" t="e">
        <f t="shared" si="13"/>
        <v>#N/A</v>
      </c>
      <c r="T75" s="22" t="e">
        <f t="shared" si="14"/>
        <v>#N/A</v>
      </c>
      <c r="U75" s="22">
        <f t="shared" si="15"/>
        <v>9.3857545103764731E-4</v>
      </c>
      <c r="V75" s="23">
        <f t="shared" si="16"/>
        <v>0.67045916294189356</v>
      </c>
      <c r="W75" s="24">
        <f t="shared" si="17"/>
        <v>3.6367414796342479E-3</v>
      </c>
      <c r="X75" s="24">
        <f t="shared" si="18"/>
        <v>0.17207216602356867</v>
      </c>
      <c r="Y75" s="23">
        <f t="shared" si="19"/>
        <v>0.99636325852036578</v>
      </c>
    </row>
    <row r="76" spans="1:25">
      <c r="A76">
        <v>75</v>
      </c>
      <c r="B76" t="s">
        <v>1054</v>
      </c>
      <c r="C76" t="s">
        <v>630</v>
      </c>
      <c r="D76" s="4">
        <v>45472.461805555555</v>
      </c>
      <c r="E76" s="10" t="s">
        <v>834</v>
      </c>
      <c r="F76" s="7">
        <v>468</v>
      </c>
      <c r="G76" s="7">
        <v>2</v>
      </c>
      <c r="H76" s="7">
        <v>2</v>
      </c>
      <c r="I76" s="7">
        <v>0</v>
      </c>
      <c r="J76" s="7">
        <v>466</v>
      </c>
      <c r="K76" s="7">
        <v>160</v>
      </c>
      <c r="L76" s="7">
        <v>125</v>
      </c>
      <c r="M76" s="7">
        <v>31</v>
      </c>
      <c r="N76" s="7">
        <v>7</v>
      </c>
      <c r="O76" s="7">
        <v>0</v>
      </c>
      <c r="P76" s="7">
        <v>145</v>
      </c>
      <c r="Q76" s="22">
        <f t="shared" si="11"/>
        <v>0.26824034334763946</v>
      </c>
      <c r="R76" s="22">
        <f t="shared" si="12"/>
        <v>0.31115879828326182</v>
      </c>
      <c r="S76" s="22" t="e">
        <f t="shared" si="13"/>
        <v>#N/A</v>
      </c>
      <c r="T76" s="22" t="e">
        <f t="shared" si="14"/>
        <v>#N/A</v>
      </c>
      <c r="U76" s="22">
        <f t="shared" si="15"/>
        <v>0</v>
      </c>
      <c r="V76" s="23">
        <f t="shared" si="16"/>
        <v>5.6000000000000001E-2</v>
      </c>
      <c r="W76" s="24">
        <f t="shared" si="17"/>
        <v>4.2735042735042739E-3</v>
      </c>
      <c r="X76" s="24">
        <f t="shared" si="18"/>
        <v>1.5021459227467811E-2</v>
      </c>
      <c r="Y76" s="23">
        <f t="shared" si="19"/>
        <v>0.99572649572649574</v>
      </c>
    </row>
    <row r="77" spans="1:25">
      <c r="A77">
        <v>76</v>
      </c>
      <c r="B77" t="s">
        <v>1054</v>
      </c>
      <c r="C77" t="s">
        <v>629</v>
      </c>
      <c r="D77" s="4">
        <v>45472.461805555555</v>
      </c>
      <c r="E77" s="10" t="s">
        <v>834</v>
      </c>
      <c r="F77" s="7">
        <v>469</v>
      </c>
      <c r="G77" s="7">
        <v>2</v>
      </c>
      <c r="H77" s="7">
        <v>1</v>
      </c>
      <c r="I77" s="7">
        <v>1</v>
      </c>
      <c r="J77" s="7">
        <v>467</v>
      </c>
      <c r="K77" s="7">
        <v>207</v>
      </c>
      <c r="L77" s="7">
        <v>139</v>
      </c>
      <c r="M77" s="7">
        <v>53</v>
      </c>
      <c r="N77" s="7">
        <v>7</v>
      </c>
      <c r="O77" s="7">
        <v>0</v>
      </c>
      <c r="P77" s="7">
        <v>345</v>
      </c>
      <c r="Q77" s="22">
        <f t="shared" si="11"/>
        <v>0.29764453961456105</v>
      </c>
      <c r="R77" s="22">
        <f t="shared" si="12"/>
        <v>0.73875802997858675</v>
      </c>
      <c r="S77" s="22" t="e">
        <f t="shared" si="13"/>
        <v>#N/A</v>
      </c>
      <c r="T77" s="22" t="e">
        <f t="shared" si="14"/>
        <v>#N/A</v>
      </c>
      <c r="U77" s="22">
        <f t="shared" si="15"/>
        <v>0</v>
      </c>
      <c r="V77" s="23">
        <f t="shared" si="16"/>
        <v>5.0359712230215826E-2</v>
      </c>
      <c r="W77" s="24">
        <f t="shared" si="17"/>
        <v>4.2643923240938165E-3</v>
      </c>
      <c r="X77" s="24">
        <f t="shared" si="18"/>
        <v>1.4989293361884369E-2</v>
      </c>
      <c r="Y77" s="23">
        <f t="shared" si="19"/>
        <v>0.99573560767590619</v>
      </c>
    </row>
    <row r="78" spans="1:25">
      <c r="A78">
        <v>77</v>
      </c>
      <c r="B78" t="s">
        <v>1054</v>
      </c>
      <c r="C78" t="s">
        <v>629</v>
      </c>
      <c r="D78" s="4">
        <v>45472.545208333337</v>
      </c>
      <c r="E78" s="10" t="s">
        <v>835</v>
      </c>
      <c r="F78" s="7">
        <v>2811</v>
      </c>
      <c r="G78" s="7">
        <v>6</v>
      </c>
      <c r="H78" s="7">
        <v>5</v>
      </c>
      <c r="I78" s="7">
        <v>1</v>
      </c>
      <c r="J78" s="7">
        <v>2805</v>
      </c>
      <c r="K78" s="7">
        <v>1135</v>
      </c>
      <c r="L78" s="7">
        <v>817</v>
      </c>
      <c r="M78" s="7">
        <v>107</v>
      </c>
      <c r="N78" s="7">
        <v>54</v>
      </c>
      <c r="O78" s="7">
        <v>5</v>
      </c>
      <c r="P78" s="7">
        <v>1789</v>
      </c>
      <c r="Q78" s="22">
        <f t="shared" si="11"/>
        <v>0.29126559714795008</v>
      </c>
      <c r="R78" s="22">
        <f t="shared" si="12"/>
        <v>0.63778966131907311</v>
      </c>
      <c r="S78" s="22" t="e">
        <f t="shared" si="13"/>
        <v>#N/A</v>
      </c>
      <c r="T78" s="22" t="e">
        <f t="shared" si="14"/>
        <v>#N/A</v>
      </c>
      <c r="U78" s="22">
        <f t="shared" si="15"/>
        <v>1.7825311942959001E-3</v>
      </c>
      <c r="V78" s="23">
        <f t="shared" si="16"/>
        <v>6.6095471236230108E-2</v>
      </c>
      <c r="W78" s="24">
        <f t="shared" si="17"/>
        <v>2.1344717182497333E-3</v>
      </c>
      <c r="X78" s="24">
        <f t="shared" si="18"/>
        <v>1.9251336898395723E-2</v>
      </c>
      <c r="Y78" s="23">
        <f t="shared" si="19"/>
        <v>0.99786552828175024</v>
      </c>
    </row>
    <row r="79" spans="1:25">
      <c r="A79">
        <v>78</v>
      </c>
      <c r="B79" t="s">
        <v>1054</v>
      </c>
      <c r="C79" t="s">
        <v>628</v>
      </c>
      <c r="D79" s="4">
        <v>45472.638888888891</v>
      </c>
      <c r="E79" s="10" t="s">
        <v>836</v>
      </c>
      <c r="F79" s="7">
        <v>3</v>
      </c>
      <c r="G79" s="7">
        <v>0</v>
      </c>
      <c r="H79" s="7">
        <v>0</v>
      </c>
      <c r="I79" s="7">
        <v>0</v>
      </c>
      <c r="J79" s="7">
        <v>3</v>
      </c>
      <c r="K79" s="7">
        <v>1</v>
      </c>
      <c r="L79" s="7">
        <v>1</v>
      </c>
      <c r="M79" s="7">
        <v>0</v>
      </c>
      <c r="N79" s="7">
        <v>0</v>
      </c>
      <c r="O79" s="7">
        <v>0</v>
      </c>
      <c r="P79" s="7">
        <v>0</v>
      </c>
      <c r="Q79" s="22">
        <f t="shared" si="11"/>
        <v>0.33333333333333331</v>
      </c>
      <c r="R79" s="22">
        <f t="shared" si="12"/>
        <v>0</v>
      </c>
      <c r="S79" s="22" t="e">
        <f t="shared" si="13"/>
        <v>#N/A</v>
      </c>
      <c r="T79" s="22" t="e">
        <f t="shared" si="14"/>
        <v>#N/A</v>
      </c>
      <c r="U79" s="22">
        <f t="shared" si="15"/>
        <v>0</v>
      </c>
      <c r="V79" s="23">
        <f t="shared" si="16"/>
        <v>0</v>
      </c>
      <c r="W79" s="24">
        <f t="shared" si="17"/>
        <v>0</v>
      </c>
      <c r="X79" s="24">
        <f t="shared" si="18"/>
        <v>0</v>
      </c>
      <c r="Y79" s="23">
        <f t="shared" si="19"/>
        <v>1</v>
      </c>
    </row>
    <row r="80" spans="1:25">
      <c r="A80">
        <v>79</v>
      </c>
      <c r="B80" t="s">
        <v>1052</v>
      </c>
      <c r="C80" t="s">
        <v>560</v>
      </c>
      <c r="D80" s="4">
        <v>45473.75277777778</v>
      </c>
      <c r="E80" s="10" t="s">
        <v>816</v>
      </c>
      <c r="F80" s="7">
        <v>731</v>
      </c>
      <c r="G80" s="7">
        <v>1</v>
      </c>
      <c r="H80" s="7">
        <v>0</v>
      </c>
      <c r="I80" s="7">
        <v>1</v>
      </c>
      <c r="J80" s="7">
        <v>730</v>
      </c>
      <c r="K80" s="7">
        <v>357</v>
      </c>
      <c r="L80" s="7">
        <v>253</v>
      </c>
      <c r="M80" s="7">
        <v>67</v>
      </c>
      <c r="N80" s="7">
        <v>32</v>
      </c>
      <c r="O80" s="7">
        <v>0</v>
      </c>
      <c r="P80" s="7">
        <v>288</v>
      </c>
      <c r="Q80" s="22">
        <f t="shared" si="11"/>
        <v>0.34657534246575344</v>
      </c>
      <c r="R80" s="22">
        <f t="shared" si="12"/>
        <v>0.39452054794520547</v>
      </c>
      <c r="S80" s="22" t="e">
        <f t="shared" si="13"/>
        <v>#N/A</v>
      </c>
      <c r="T80" s="22" t="e">
        <f t="shared" si="14"/>
        <v>#N/A</v>
      </c>
      <c r="U80" s="22">
        <f t="shared" si="15"/>
        <v>0</v>
      </c>
      <c r="V80" s="23">
        <f t="shared" si="16"/>
        <v>0.12648221343873517</v>
      </c>
      <c r="W80" s="24">
        <f t="shared" si="17"/>
        <v>1.3679890560875513E-3</v>
      </c>
      <c r="X80" s="24">
        <f t="shared" si="18"/>
        <v>4.3835616438356165E-2</v>
      </c>
      <c r="Y80" s="23">
        <f t="shared" si="19"/>
        <v>0.99863201094391241</v>
      </c>
    </row>
    <row r="81" spans="1:25">
      <c r="A81">
        <v>80</v>
      </c>
      <c r="B81" t="s">
        <v>1054</v>
      </c>
      <c r="C81" t="s">
        <v>627</v>
      </c>
      <c r="D81" s="4">
        <v>45479.368055555555</v>
      </c>
      <c r="E81" s="10" t="s">
        <v>837</v>
      </c>
      <c r="F81" s="7">
        <v>461</v>
      </c>
      <c r="G81" s="7">
        <v>4</v>
      </c>
      <c r="H81" s="7">
        <v>2</v>
      </c>
      <c r="I81" s="7">
        <v>2</v>
      </c>
      <c r="J81" s="7">
        <v>457</v>
      </c>
      <c r="K81" s="7">
        <v>248</v>
      </c>
      <c r="L81" s="7">
        <v>187</v>
      </c>
      <c r="M81" s="7">
        <v>53</v>
      </c>
      <c r="N81" s="7">
        <v>30</v>
      </c>
      <c r="O81" s="7">
        <v>1</v>
      </c>
      <c r="P81" s="7">
        <v>56</v>
      </c>
      <c r="Q81" s="22">
        <f t="shared" si="11"/>
        <v>0.40919037199124725</v>
      </c>
      <c r="R81" s="22">
        <f t="shared" si="12"/>
        <v>0.12253829321663019</v>
      </c>
      <c r="S81" s="22" t="e">
        <f t="shared" si="13"/>
        <v>#N/A</v>
      </c>
      <c r="T81" s="22" t="e">
        <f t="shared" si="14"/>
        <v>#N/A</v>
      </c>
      <c r="U81" s="22">
        <f t="shared" si="15"/>
        <v>2.1881838074398249E-3</v>
      </c>
      <c r="V81" s="23">
        <f t="shared" si="16"/>
        <v>0.16042780748663102</v>
      </c>
      <c r="W81" s="24">
        <f t="shared" si="17"/>
        <v>8.6767895878524948E-3</v>
      </c>
      <c r="X81" s="24">
        <f t="shared" si="18"/>
        <v>6.5645514223194742E-2</v>
      </c>
      <c r="Y81" s="23">
        <f t="shared" si="19"/>
        <v>0.99132321041214755</v>
      </c>
    </row>
    <row r="82" spans="1:25">
      <c r="A82">
        <v>81</v>
      </c>
      <c r="B82" t="s">
        <v>1054</v>
      </c>
      <c r="C82" t="s">
        <v>627</v>
      </c>
      <c r="D82" s="4">
        <v>45479.368055555555</v>
      </c>
      <c r="E82" s="10" t="s">
        <v>837</v>
      </c>
      <c r="F82" s="7">
        <v>462</v>
      </c>
      <c r="G82" s="7">
        <v>0</v>
      </c>
      <c r="H82" s="7">
        <v>0</v>
      </c>
      <c r="I82" s="7">
        <v>0</v>
      </c>
      <c r="J82" s="7">
        <v>462</v>
      </c>
      <c r="K82" s="7">
        <v>344</v>
      </c>
      <c r="L82" s="7">
        <v>189</v>
      </c>
      <c r="M82" s="7">
        <v>49</v>
      </c>
      <c r="N82" s="7">
        <v>28</v>
      </c>
      <c r="O82" s="7">
        <v>0</v>
      </c>
      <c r="P82" s="7">
        <v>75</v>
      </c>
      <c r="Q82" s="22">
        <f t="shared" si="11"/>
        <v>0.40909090909090912</v>
      </c>
      <c r="R82" s="22">
        <f t="shared" si="12"/>
        <v>0.16233766233766234</v>
      </c>
      <c r="S82" s="22" t="e">
        <f t="shared" si="13"/>
        <v>#N/A</v>
      </c>
      <c r="T82" s="22" t="e">
        <f t="shared" si="14"/>
        <v>#N/A</v>
      </c>
      <c r="U82" s="22">
        <f t="shared" si="15"/>
        <v>0</v>
      </c>
      <c r="V82" s="23">
        <f t="shared" si="16"/>
        <v>0.14814814814814814</v>
      </c>
      <c r="W82" s="24">
        <f t="shared" si="17"/>
        <v>0</v>
      </c>
      <c r="X82" s="24">
        <f t="shared" si="18"/>
        <v>6.0606060606060608E-2</v>
      </c>
      <c r="Y82" s="23">
        <f t="shared" si="19"/>
        <v>1</v>
      </c>
    </row>
    <row r="83" spans="1:25">
      <c r="A83">
        <v>82</v>
      </c>
      <c r="B83" t="s">
        <v>1054</v>
      </c>
      <c r="C83" t="s">
        <v>627</v>
      </c>
      <c r="D83" s="4">
        <v>45479.535532407404</v>
      </c>
      <c r="E83" s="10" t="s">
        <v>838</v>
      </c>
      <c r="F83" s="7">
        <v>2768</v>
      </c>
      <c r="G83" s="7">
        <v>11</v>
      </c>
      <c r="H83" s="7">
        <v>6</v>
      </c>
      <c r="I83" s="7">
        <v>5</v>
      </c>
      <c r="J83" s="7">
        <v>2757</v>
      </c>
      <c r="K83" s="7">
        <v>1565</v>
      </c>
      <c r="L83" s="7">
        <v>1065</v>
      </c>
      <c r="M83" s="7">
        <v>231</v>
      </c>
      <c r="N83" s="7">
        <v>134</v>
      </c>
      <c r="O83" s="7">
        <v>4</v>
      </c>
      <c r="P83" s="7">
        <v>1566</v>
      </c>
      <c r="Q83" s="22">
        <f t="shared" si="11"/>
        <v>0.38628944504896628</v>
      </c>
      <c r="R83" s="22">
        <f t="shared" si="12"/>
        <v>0.56800870511425461</v>
      </c>
      <c r="S83" s="22" t="e">
        <f t="shared" si="13"/>
        <v>#N/A</v>
      </c>
      <c r="T83" s="22" t="e">
        <f t="shared" si="14"/>
        <v>#N/A</v>
      </c>
      <c r="U83" s="22">
        <f t="shared" si="15"/>
        <v>1.4508523757707653E-3</v>
      </c>
      <c r="V83" s="23">
        <f t="shared" si="16"/>
        <v>0.12582159624413145</v>
      </c>
      <c r="W83" s="24">
        <f t="shared" si="17"/>
        <v>3.9739884393063581E-3</v>
      </c>
      <c r="X83" s="24">
        <f t="shared" si="18"/>
        <v>4.8603554588320635E-2</v>
      </c>
      <c r="Y83" s="23">
        <f t="shared" si="19"/>
        <v>0.99602601156069359</v>
      </c>
    </row>
    <row r="84" spans="1:25">
      <c r="A84">
        <v>83</v>
      </c>
      <c r="B84" t="s">
        <v>966</v>
      </c>
      <c r="C84" t="s">
        <v>545</v>
      </c>
      <c r="D84" s="4">
        <v>45479.821527777778</v>
      </c>
      <c r="E84" s="10" t="s">
        <v>839</v>
      </c>
      <c r="F84" s="7">
        <v>10547</v>
      </c>
      <c r="G84" s="7">
        <v>108</v>
      </c>
      <c r="H84" s="7">
        <v>30</v>
      </c>
      <c r="I84" s="7">
        <v>78</v>
      </c>
      <c r="J84" s="7">
        <v>10439</v>
      </c>
      <c r="K84" s="7">
        <v>4278</v>
      </c>
      <c r="L84" s="7">
        <v>2793</v>
      </c>
      <c r="M84" s="7">
        <v>11209</v>
      </c>
      <c r="N84" s="7">
        <v>1844</v>
      </c>
      <c r="O84" s="7">
        <v>8</v>
      </c>
      <c r="P84" s="7">
        <v>4568</v>
      </c>
      <c r="Q84" s="22">
        <f t="shared" si="11"/>
        <v>0.2675543634447744</v>
      </c>
      <c r="R84" s="22">
        <f t="shared" si="12"/>
        <v>0.43758980745282117</v>
      </c>
      <c r="S84" s="22" t="e">
        <f t="shared" si="13"/>
        <v>#N/A</v>
      </c>
      <c r="T84" s="22" t="e">
        <f t="shared" si="14"/>
        <v>#N/A</v>
      </c>
      <c r="U84" s="22">
        <f t="shared" si="15"/>
        <v>7.6635693074049243E-4</v>
      </c>
      <c r="V84" s="23">
        <f t="shared" si="16"/>
        <v>0.66022198353025419</v>
      </c>
      <c r="W84" s="24">
        <f t="shared" si="17"/>
        <v>1.0239878638475397E-2</v>
      </c>
      <c r="X84" s="24">
        <f t="shared" si="18"/>
        <v>0.17664527253568349</v>
      </c>
      <c r="Y84" s="23">
        <f t="shared" si="19"/>
        <v>0.98976012136152458</v>
      </c>
    </row>
    <row r="85" spans="1:25">
      <c r="A85">
        <v>84</v>
      </c>
      <c r="B85" t="s">
        <v>967</v>
      </c>
      <c r="C85" t="s">
        <v>558</v>
      </c>
      <c r="D85" s="4">
        <v>45480.648541666669</v>
      </c>
      <c r="E85" s="10" t="s">
        <v>840</v>
      </c>
      <c r="F85" s="7">
        <v>9030</v>
      </c>
      <c r="G85" s="7">
        <v>26</v>
      </c>
      <c r="H85" s="7">
        <v>22</v>
      </c>
      <c r="I85" s="7">
        <v>4</v>
      </c>
      <c r="J85" s="7">
        <v>9004</v>
      </c>
      <c r="K85" s="7">
        <v>3165</v>
      </c>
      <c r="L85" s="7">
        <v>2309</v>
      </c>
      <c r="M85" s="7">
        <v>5876</v>
      </c>
      <c r="N85" s="7">
        <v>1554</v>
      </c>
      <c r="O85" s="7">
        <v>8</v>
      </c>
      <c r="P85" s="7">
        <v>4887</v>
      </c>
      <c r="Q85" s="22">
        <f t="shared" si="11"/>
        <v>0.25644158151932472</v>
      </c>
      <c r="R85" s="22">
        <f t="shared" si="12"/>
        <v>0.54275877387827631</v>
      </c>
      <c r="S85" s="22" t="e">
        <f t="shared" si="13"/>
        <v>#N/A</v>
      </c>
      <c r="T85" s="22" t="e">
        <f t="shared" si="14"/>
        <v>#N/A</v>
      </c>
      <c r="U85" s="22">
        <f t="shared" si="15"/>
        <v>8.8849400266548197E-4</v>
      </c>
      <c r="V85" s="23">
        <f t="shared" si="16"/>
        <v>0.67301862278042446</v>
      </c>
      <c r="W85" s="24">
        <f t="shared" si="17"/>
        <v>2.8792912513842745E-3</v>
      </c>
      <c r="X85" s="24">
        <f t="shared" si="18"/>
        <v>0.17258996001776988</v>
      </c>
      <c r="Y85" s="23">
        <f t="shared" si="19"/>
        <v>0.99712070874861569</v>
      </c>
    </row>
    <row r="86" spans="1:25">
      <c r="A86">
        <v>85</v>
      </c>
      <c r="B86" t="s">
        <v>1055</v>
      </c>
      <c r="C86" t="s">
        <v>567</v>
      </c>
      <c r="D86" s="4">
        <v>45481.679166666669</v>
      </c>
      <c r="E86" s="10" t="s">
        <v>809</v>
      </c>
      <c r="F86" s="7">
        <v>4144</v>
      </c>
      <c r="G86" s="7">
        <v>17</v>
      </c>
      <c r="H86" s="7">
        <v>12</v>
      </c>
      <c r="I86" s="7">
        <v>5</v>
      </c>
      <c r="J86" s="7">
        <v>4127</v>
      </c>
      <c r="K86" s="7">
        <v>3432</v>
      </c>
      <c r="L86" s="7">
        <v>1405</v>
      </c>
      <c r="M86" s="7">
        <v>254</v>
      </c>
      <c r="N86" s="7">
        <v>165</v>
      </c>
      <c r="O86" s="7">
        <v>13</v>
      </c>
      <c r="P86" s="7">
        <v>2501</v>
      </c>
      <c r="Q86" s="22">
        <f t="shared" si="11"/>
        <v>0.34044099830385266</v>
      </c>
      <c r="R86" s="22">
        <f t="shared" si="12"/>
        <v>0.60600920765689359</v>
      </c>
      <c r="S86" s="22" t="e">
        <f t="shared" si="13"/>
        <v>#N/A</v>
      </c>
      <c r="T86" s="22" t="e">
        <f t="shared" si="14"/>
        <v>#N/A</v>
      </c>
      <c r="U86" s="22">
        <f t="shared" si="15"/>
        <v>3.1499878846619821E-3</v>
      </c>
      <c r="V86" s="23">
        <f t="shared" si="16"/>
        <v>0.11743772241992882</v>
      </c>
      <c r="W86" s="24">
        <f t="shared" si="17"/>
        <v>4.1023166023166019E-3</v>
      </c>
      <c r="X86" s="24">
        <f t="shared" si="18"/>
        <v>3.9980615459171309E-2</v>
      </c>
      <c r="Y86" s="23">
        <f t="shared" si="19"/>
        <v>0.99589768339768336</v>
      </c>
    </row>
    <row r="87" spans="1:25">
      <c r="A87">
        <v>86</v>
      </c>
      <c r="B87" t="s">
        <v>965</v>
      </c>
      <c r="C87" t="s">
        <v>525</v>
      </c>
      <c r="D87" s="4">
        <v>45484.683240740742</v>
      </c>
      <c r="E87" s="10" t="s">
        <v>841</v>
      </c>
      <c r="F87" s="7">
        <v>216</v>
      </c>
      <c r="G87" s="7">
        <v>3</v>
      </c>
      <c r="H87" s="7">
        <v>1</v>
      </c>
      <c r="I87" s="7">
        <v>2</v>
      </c>
      <c r="J87" s="7">
        <v>213</v>
      </c>
      <c r="K87" s="7">
        <v>62</v>
      </c>
      <c r="L87" s="7">
        <v>44</v>
      </c>
      <c r="M87" s="7">
        <v>3</v>
      </c>
      <c r="N87" s="7">
        <v>3</v>
      </c>
      <c r="O87" s="7">
        <v>1</v>
      </c>
      <c r="P87" s="7">
        <v>73</v>
      </c>
      <c r="Q87" s="22">
        <f t="shared" si="11"/>
        <v>0.20657276995305165</v>
      </c>
      <c r="R87" s="22">
        <f t="shared" si="12"/>
        <v>0.34272300469483569</v>
      </c>
      <c r="S87" s="22" t="e">
        <f t="shared" si="13"/>
        <v>#N/A</v>
      </c>
      <c r="T87" s="22" t="e">
        <f t="shared" si="14"/>
        <v>#N/A</v>
      </c>
      <c r="U87" s="22">
        <f t="shared" si="15"/>
        <v>4.6948356807511738E-3</v>
      </c>
      <c r="V87" s="23">
        <f t="shared" si="16"/>
        <v>6.8181818181818177E-2</v>
      </c>
      <c r="W87" s="24">
        <f t="shared" si="17"/>
        <v>1.3888888888888888E-2</v>
      </c>
      <c r="X87" s="24">
        <f t="shared" si="18"/>
        <v>1.4084507042253521E-2</v>
      </c>
      <c r="Y87" s="23">
        <f t="shared" si="19"/>
        <v>0.98611111111111116</v>
      </c>
    </row>
    <row r="88" spans="1:25">
      <c r="A88">
        <v>87</v>
      </c>
      <c r="B88" t="s">
        <v>965</v>
      </c>
      <c r="C88" t="s">
        <v>525</v>
      </c>
      <c r="D88" s="4">
        <v>45484.683252314811</v>
      </c>
      <c r="E88" s="10" t="s">
        <v>841</v>
      </c>
      <c r="F88" s="7">
        <v>216</v>
      </c>
      <c r="G88" s="7">
        <v>1</v>
      </c>
      <c r="H88" s="7">
        <v>1</v>
      </c>
      <c r="I88" s="7">
        <v>0</v>
      </c>
      <c r="J88" s="7">
        <v>215</v>
      </c>
      <c r="K88" s="7">
        <v>77</v>
      </c>
      <c r="L88" s="7">
        <v>56</v>
      </c>
      <c r="M88" s="7">
        <v>79</v>
      </c>
      <c r="N88" s="7">
        <v>23</v>
      </c>
      <c r="O88" s="7">
        <v>0</v>
      </c>
      <c r="P88" s="7">
        <v>73</v>
      </c>
      <c r="Q88" s="22">
        <f t="shared" si="11"/>
        <v>0.26046511627906976</v>
      </c>
      <c r="R88" s="22">
        <f t="shared" si="12"/>
        <v>0.33953488372093021</v>
      </c>
      <c r="S88" s="22" t="e">
        <f t="shared" si="13"/>
        <v>#N/A</v>
      </c>
      <c r="T88" s="22" t="e">
        <f t="shared" si="14"/>
        <v>#N/A</v>
      </c>
      <c r="U88" s="22">
        <f t="shared" si="15"/>
        <v>0</v>
      </c>
      <c r="V88" s="23">
        <f t="shared" si="16"/>
        <v>0.4107142857142857</v>
      </c>
      <c r="W88" s="24">
        <f t="shared" si="17"/>
        <v>4.6296296296296294E-3</v>
      </c>
      <c r="X88" s="24">
        <f t="shared" si="18"/>
        <v>0.10697674418604651</v>
      </c>
      <c r="Y88" s="23">
        <f t="shared" si="19"/>
        <v>0.99537037037037035</v>
      </c>
    </row>
    <row r="89" spans="1:25">
      <c r="A89">
        <v>88</v>
      </c>
      <c r="B89" t="s">
        <v>964</v>
      </c>
      <c r="C89" t="s">
        <v>533</v>
      </c>
      <c r="D89" s="4">
        <v>45484.694918981484</v>
      </c>
      <c r="E89" s="10" t="s">
        <v>842</v>
      </c>
      <c r="F89" s="7">
        <v>2136</v>
      </c>
      <c r="G89" s="7">
        <v>95</v>
      </c>
      <c r="H89" s="7">
        <v>6</v>
      </c>
      <c r="I89" s="7">
        <v>89</v>
      </c>
      <c r="J89" s="7">
        <v>2041</v>
      </c>
      <c r="K89" s="7">
        <v>640</v>
      </c>
      <c r="L89" s="7">
        <v>383</v>
      </c>
      <c r="M89" s="7">
        <v>45</v>
      </c>
      <c r="N89" s="7">
        <v>32</v>
      </c>
      <c r="O89" s="7">
        <v>7</v>
      </c>
      <c r="P89" s="7">
        <v>1493</v>
      </c>
      <c r="Q89" s="22">
        <f t="shared" si="11"/>
        <v>0.1876531112199902</v>
      </c>
      <c r="R89" s="22">
        <f t="shared" si="12"/>
        <v>0.73150416462518375</v>
      </c>
      <c r="S89" s="22" t="e">
        <f t="shared" si="13"/>
        <v>#N/A</v>
      </c>
      <c r="T89" s="22" t="e">
        <f t="shared" si="14"/>
        <v>#N/A</v>
      </c>
      <c r="U89" s="22">
        <f t="shared" si="15"/>
        <v>3.4296913277804997E-3</v>
      </c>
      <c r="V89" s="23">
        <f t="shared" si="16"/>
        <v>8.3550913838120106E-2</v>
      </c>
      <c r="W89" s="24">
        <f t="shared" si="17"/>
        <v>4.4475655430711608E-2</v>
      </c>
      <c r="X89" s="24">
        <f t="shared" si="18"/>
        <v>1.567858892699657E-2</v>
      </c>
      <c r="Y89" s="23">
        <f t="shared" si="19"/>
        <v>0.95552434456928836</v>
      </c>
    </row>
    <row r="90" spans="1:25">
      <c r="A90">
        <v>89</v>
      </c>
      <c r="B90" t="s">
        <v>1054</v>
      </c>
      <c r="C90" t="s">
        <v>626</v>
      </c>
      <c r="D90" s="4">
        <v>45485.600694444445</v>
      </c>
      <c r="E90" s="10" t="s">
        <v>843</v>
      </c>
      <c r="F90" s="7">
        <v>3294</v>
      </c>
      <c r="G90" s="7">
        <v>15</v>
      </c>
      <c r="H90" s="7">
        <v>9</v>
      </c>
      <c r="I90" s="7">
        <v>6</v>
      </c>
      <c r="J90" s="7">
        <v>3279</v>
      </c>
      <c r="K90" s="7">
        <v>1519</v>
      </c>
      <c r="L90" s="7">
        <v>1104</v>
      </c>
      <c r="M90" s="7">
        <v>174</v>
      </c>
      <c r="N90" s="7">
        <v>124</v>
      </c>
      <c r="O90" s="7">
        <v>8</v>
      </c>
      <c r="P90" s="7">
        <v>2345</v>
      </c>
      <c r="Q90" s="22">
        <f t="shared" si="11"/>
        <v>0.33668801463860931</v>
      </c>
      <c r="R90" s="22">
        <f t="shared" si="12"/>
        <v>0.71515706007929247</v>
      </c>
      <c r="S90" s="22" t="e">
        <f t="shared" si="13"/>
        <v>#N/A</v>
      </c>
      <c r="T90" s="22" t="e">
        <f t="shared" si="14"/>
        <v>#N/A</v>
      </c>
      <c r="U90" s="22">
        <f t="shared" si="15"/>
        <v>2.4397682220189082E-3</v>
      </c>
      <c r="V90" s="23">
        <f t="shared" si="16"/>
        <v>0.11231884057971014</v>
      </c>
      <c r="W90" s="24">
        <f t="shared" si="17"/>
        <v>4.5537340619307837E-3</v>
      </c>
      <c r="X90" s="24">
        <f t="shared" si="18"/>
        <v>3.7816407441293075E-2</v>
      </c>
      <c r="Y90" s="23">
        <f t="shared" si="19"/>
        <v>0.99544626593806917</v>
      </c>
    </row>
    <row r="91" spans="1:25">
      <c r="A91">
        <v>90</v>
      </c>
      <c r="B91" t="s">
        <v>965</v>
      </c>
      <c r="C91" t="s">
        <v>525</v>
      </c>
      <c r="D91" s="4">
        <v>45486.684872685182</v>
      </c>
      <c r="E91" s="10" t="s">
        <v>844</v>
      </c>
      <c r="F91" s="7">
        <v>430</v>
      </c>
      <c r="G91" s="7">
        <v>6</v>
      </c>
      <c r="H91" s="7">
        <v>3</v>
      </c>
      <c r="I91" s="7">
        <v>3</v>
      </c>
      <c r="J91" s="7">
        <v>424</v>
      </c>
      <c r="K91" s="7">
        <v>153</v>
      </c>
      <c r="L91" s="7">
        <v>103</v>
      </c>
      <c r="M91" s="7">
        <v>205</v>
      </c>
      <c r="N91" s="7">
        <v>50</v>
      </c>
      <c r="O91" s="7">
        <v>0</v>
      </c>
      <c r="P91" s="7">
        <v>87</v>
      </c>
      <c r="Q91" s="22">
        <f t="shared" si="11"/>
        <v>0.24292452830188679</v>
      </c>
      <c r="R91" s="22">
        <f t="shared" si="12"/>
        <v>0.20518867924528303</v>
      </c>
      <c r="S91" s="22" t="e">
        <f t="shared" si="13"/>
        <v>#N/A</v>
      </c>
      <c r="T91" s="22" t="e">
        <f t="shared" si="14"/>
        <v>#N/A</v>
      </c>
      <c r="U91" s="22">
        <f t="shared" si="15"/>
        <v>0</v>
      </c>
      <c r="V91" s="23">
        <f t="shared" si="16"/>
        <v>0.4854368932038835</v>
      </c>
      <c r="W91" s="24">
        <f t="shared" si="17"/>
        <v>1.3953488372093023E-2</v>
      </c>
      <c r="X91" s="24">
        <f t="shared" si="18"/>
        <v>0.11792452830188679</v>
      </c>
      <c r="Y91" s="23">
        <f t="shared" si="19"/>
        <v>0.98604651162790702</v>
      </c>
    </row>
    <row r="92" spans="1:25">
      <c r="A92">
        <v>91</v>
      </c>
      <c r="B92" t="s">
        <v>966</v>
      </c>
      <c r="C92" t="s">
        <v>544</v>
      </c>
      <c r="D92" s="4">
        <v>45486.856249999997</v>
      </c>
      <c r="E92" s="10" t="s">
        <v>845</v>
      </c>
      <c r="F92" s="7">
        <v>10399</v>
      </c>
      <c r="G92" s="7">
        <v>42</v>
      </c>
      <c r="H92" s="7">
        <v>24</v>
      </c>
      <c r="I92" s="7">
        <v>18</v>
      </c>
      <c r="J92" s="7">
        <v>10357</v>
      </c>
      <c r="K92" s="7">
        <v>3791</v>
      </c>
      <c r="L92" s="7">
        <v>2654</v>
      </c>
      <c r="M92" s="7">
        <v>2420</v>
      </c>
      <c r="N92" s="7">
        <v>1708</v>
      </c>
      <c r="O92" s="7">
        <v>4</v>
      </c>
      <c r="P92" s="7">
        <v>3467</v>
      </c>
      <c r="Q92" s="22">
        <f t="shared" si="11"/>
        <v>0.25625181036979822</v>
      </c>
      <c r="R92" s="22">
        <f t="shared" si="12"/>
        <v>0.33474944481992858</v>
      </c>
      <c r="S92" s="22" t="e">
        <f t="shared" si="13"/>
        <v>#N/A</v>
      </c>
      <c r="T92" s="22" t="e">
        <f t="shared" si="14"/>
        <v>#N/A</v>
      </c>
      <c r="U92" s="22">
        <f t="shared" si="15"/>
        <v>3.8621222361687749E-4</v>
      </c>
      <c r="V92" s="23">
        <f t="shared" si="16"/>
        <v>0.64355689525244908</v>
      </c>
      <c r="W92" s="24">
        <f t="shared" si="17"/>
        <v>4.0388498894124436E-3</v>
      </c>
      <c r="X92" s="24">
        <f t="shared" si="18"/>
        <v>0.16491261948440669</v>
      </c>
      <c r="Y92" s="23">
        <f t="shared" si="19"/>
        <v>0.99596115011058761</v>
      </c>
    </row>
    <row r="93" spans="1:25">
      <c r="A93">
        <v>92</v>
      </c>
      <c r="B93" t="s">
        <v>965</v>
      </c>
      <c r="C93" t="s">
        <v>524</v>
      </c>
      <c r="D93" s="4">
        <v>45491.670138888891</v>
      </c>
      <c r="E93" s="10" t="s">
        <v>846</v>
      </c>
      <c r="F93" s="7">
        <v>855</v>
      </c>
      <c r="G93" s="7">
        <v>5</v>
      </c>
      <c r="H93" s="7">
        <v>4</v>
      </c>
      <c r="I93" s="7">
        <v>1</v>
      </c>
      <c r="J93" s="7">
        <v>850</v>
      </c>
      <c r="K93" s="7">
        <v>258</v>
      </c>
      <c r="L93" s="7">
        <v>174</v>
      </c>
      <c r="M93" s="7">
        <v>302</v>
      </c>
      <c r="N93" s="7">
        <v>82</v>
      </c>
      <c r="O93" s="7">
        <v>0</v>
      </c>
      <c r="P93" s="7">
        <v>312</v>
      </c>
      <c r="Q93" s="22">
        <f t="shared" si="11"/>
        <v>0.20470588235294118</v>
      </c>
      <c r="R93" s="22">
        <f t="shared" si="12"/>
        <v>0.36705882352941177</v>
      </c>
      <c r="S93" s="22" t="e">
        <f t="shared" si="13"/>
        <v>#N/A</v>
      </c>
      <c r="T93" s="22" t="e">
        <f t="shared" si="14"/>
        <v>#N/A</v>
      </c>
      <c r="U93" s="22">
        <f t="shared" si="15"/>
        <v>0</v>
      </c>
      <c r="V93" s="23">
        <f t="shared" si="16"/>
        <v>0.47126436781609193</v>
      </c>
      <c r="W93" s="24">
        <f t="shared" si="17"/>
        <v>5.8479532163742687E-3</v>
      </c>
      <c r="X93" s="24">
        <f t="shared" si="18"/>
        <v>9.6470588235294114E-2</v>
      </c>
      <c r="Y93" s="23">
        <f t="shared" si="19"/>
        <v>0.99415204678362568</v>
      </c>
    </row>
    <row r="94" spans="1:25">
      <c r="A94">
        <v>93</v>
      </c>
      <c r="B94" t="s">
        <v>1054</v>
      </c>
      <c r="C94" t="s">
        <v>625</v>
      </c>
      <c r="D94" s="4">
        <v>45492.361111111109</v>
      </c>
      <c r="E94" s="10" t="s">
        <v>847</v>
      </c>
      <c r="F94" s="7">
        <v>7</v>
      </c>
      <c r="G94" s="7">
        <v>0</v>
      </c>
      <c r="H94" s="7">
        <v>0</v>
      </c>
      <c r="I94" s="7">
        <v>0</v>
      </c>
      <c r="J94" s="7">
        <v>7</v>
      </c>
      <c r="K94" s="7">
        <v>6</v>
      </c>
      <c r="L94" s="7">
        <v>4</v>
      </c>
      <c r="M94" s="7">
        <v>4</v>
      </c>
      <c r="N94" s="7">
        <v>2</v>
      </c>
      <c r="O94" s="7">
        <v>0</v>
      </c>
      <c r="P94" s="7">
        <v>0</v>
      </c>
      <c r="Q94" s="22">
        <f t="shared" si="11"/>
        <v>0.5714285714285714</v>
      </c>
      <c r="R94" s="22">
        <f t="shared" si="12"/>
        <v>0</v>
      </c>
      <c r="S94" s="22" t="e">
        <f t="shared" si="13"/>
        <v>#N/A</v>
      </c>
      <c r="T94" s="22" t="e">
        <f t="shared" si="14"/>
        <v>#N/A</v>
      </c>
      <c r="U94" s="22">
        <f t="shared" si="15"/>
        <v>0</v>
      </c>
      <c r="V94" s="23">
        <f t="shared" si="16"/>
        <v>0.5</v>
      </c>
      <c r="W94" s="24">
        <f t="shared" si="17"/>
        <v>0</v>
      </c>
      <c r="X94" s="24">
        <f t="shared" si="18"/>
        <v>0.2857142857142857</v>
      </c>
      <c r="Y94" s="23">
        <f t="shared" si="19"/>
        <v>1</v>
      </c>
    </row>
    <row r="95" spans="1:25">
      <c r="A95">
        <v>94</v>
      </c>
      <c r="B95" t="s">
        <v>1054</v>
      </c>
      <c r="C95" t="s">
        <v>625</v>
      </c>
      <c r="D95" s="4">
        <v>45492.372916666667</v>
      </c>
      <c r="E95" s="10" t="s">
        <v>848</v>
      </c>
      <c r="F95" s="7">
        <v>9</v>
      </c>
      <c r="G95" s="7">
        <v>0</v>
      </c>
      <c r="H95" s="7">
        <v>0</v>
      </c>
      <c r="I95" s="7">
        <v>0</v>
      </c>
      <c r="J95" s="7">
        <v>9</v>
      </c>
      <c r="K95" s="7">
        <v>10</v>
      </c>
      <c r="L95" s="7">
        <v>5</v>
      </c>
      <c r="M95" s="7">
        <v>4</v>
      </c>
      <c r="N95" s="7">
        <v>3</v>
      </c>
      <c r="O95" s="7">
        <v>0</v>
      </c>
      <c r="P95" s="7">
        <v>0</v>
      </c>
      <c r="Q95" s="22">
        <f t="shared" si="11"/>
        <v>0.55555555555555558</v>
      </c>
      <c r="R95" s="22">
        <f t="shared" si="12"/>
        <v>0</v>
      </c>
      <c r="S95" s="22" t="e">
        <f t="shared" si="13"/>
        <v>#N/A</v>
      </c>
      <c r="T95" s="22" t="e">
        <f t="shared" si="14"/>
        <v>#N/A</v>
      </c>
      <c r="U95" s="22">
        <f t="shared" si="15"/>
        <v>0</v>
      </c>
      <c r="V95" s="23">
        <f t="shared" si="16"/>
        <v>0.6</v>
      </c>
      <c r="W95" s="24">
        <f t="shared" si="17"/>
        <v>0</v>
      </c>
      <c r="X95" s="24">
        <f t="shared" si="18"/>
        <v>0.33333333333333331</v>
      </c>
      <c r="Y95" s="23">
        <f t="shared" si="19"/>
        <v>1</v>
      </c>
    </row>
    <row r="96" spans="1:25">
      <c r="A96">
        <v>95</v>
      </c>
      <c r="B96" t="s">
        <v>1054</v>
      </c>
      <c r="C96" t="s">
        <v>625</v>
      </c>
      <c r="D96" s="4">
        <v>45492.374305555553</v>
      </c>
      <c r="E96" s="10" t="s">
        <v>849</v>
      </c>
      <c r="F96" s="7">
        <v>17</v>
      </c>
      <c r="G96" s="7">
        <v>0</v>
      </c>
      <c r="H96" s="7">
        <v>0</v>
      </c>
      <c r="I96" s="7">
        <v>0</v>
      </c>
      <c r="J96" s="7">
        <v>17</v>
      </c>
      <c r="K96" s="7">
        <v>14</v>
      </c>
      <c r="L96" s="7">
        <v>11</v>
      </c>
      <c r="M96" s="7">
        <v>2</v>
      </c>
      <c r="N96" s="7">
        <v>2</v>
      </c>
      <c r="O96" s="7">
        <v>0</v>
      </c>
      <c r="P96" s="7">
        <v>5</v>
      </c>
      <c r="Q96" s="22">
        <f t="shared" si="11"/>
        <v>0.6470588235294118</v>
      </c>
      <c r="R96" s="22">
        <f t="shared" si="12"/>
        <v>0.29411764705882354</v>
      </c>
      <c r="S96" s="22" t="e">
        <f t="shared" si="13"/>
        <v>#N/A</v>
      </c>
      <c r="T96" s="22" t="e">
        <f t="shared" si="14"/>
        <v>#N/A</v>
      </c>
      <c r="U96" s="22">
        <f t="shared" si="15"/>
        <v>0</v>
      </c>
      <c r="V96" s="23">
        <f t="shared" si="16"/>
        <v>0.18181818181818182</v>
      </c>
      <c r="W96" s="24">
        <f t="shared" si="17"/>
        <v>0</v>
      </c>
      <c r="X96" s="24">
        <f t="shared" si="18"/>
        <v>0.11764705882352941</v>
      </c>
      <c r="Y96" s="23">
        <f t="shared" si="19"/>
        <v>1</v>
      </c>
    </row>
    <row r="97" spans="1:25">
      <c r="A97">
        <v>96</v>
      </c>
      <c r="B97" t="s">
        <v>1054</v>
      </c>
      <c r="C97" t="s">
        <v>624</v>
      </c>
      <c r="D97" s="4">
        <v>45492.540289351855</v>
      </c>
      <c r="E97" s="10" t="s">
        <v>850</v>
      </c>
      <c r="F97" s="7">
        <v>534</v>
      </c>
      <c r="G97" s="7">
        <v>4</v>
      </c>
      <c r="H97" s="7">
        <v>3</v>
      </c>
      <c r="I97" s="7">
        <v>1</v>
      </c>
      <c r="J97" s="7">
        <v>530</v>
      </c>
      <c r="K97" s="7">
        <v>668</v>
      </c>
      <c r="L97" s="7">
        <v>131</v>
      </c>
      <c r="M97" s="7">
        <v>12</v>
      </c>
      <c r="N97" s="7">
        <v>10</v>
      </c>
      <c r="O97" s="7">
        <v>2</v>
      </c>
      <c r="P97" s="7">
        <v>234</v>
      </c>
      <c r="Q97" s="22">
        <f t="shared" si="11"/>
        <v>0.24716981132075472</v>
      </c>
      <c r="R97" s="22">
        <f t="shared" si="12"/>
        <v>0.44150943396226416</v>
      </c>
      <c r="S97" s="22" t="e">
        <f t="shared" si="13"/>
        <v>#N/A</v>
      </c>
      <c r="T97" s="22" t="e">
        <f t="shared" si="14"/>
        <v>#N/A</v>
      </c>
      <c r="U97" s="22">
        <f t="shared" si="15"/>
        <v>3.7735849056603774E-3</v>
      </c>
      <c r="V97" s="23">
        <f t="shared" si="16"/>
        <v>7.6335877862595422E-2</v>
      </c>
      <c r="W97" s="24">
        <f t="shared" si="17"/>
        <v>7.4906367041198503E-3</v>
      </c>
      <c r="X97" s="24">
        <f t="shared" si="18"/>
        <v>1.8867924528301886E-2</v>
      </c>
      <c r="Y97" s="23">
        <f t="shared" si="19"/>
        <v>0.99250936329588013</v>
      </c>
    </row>
    <row r="98" spans="1:25">
      <c r="A98">
        <v>97</v>
      </c>
      <c r="B98" t="s">
        <v>967</v>
      </c>
      <c r="C98" t="s">
        <v>557</v>
      </c>
      <c r="D98" s="4">
        <v>45494.688750000001</v>
      </c>
      <c r="E98" s="10" t="s">
        <v>815</v>
      </c>
      <c r="F98" s="7">
        <v>9025</v>
      </c>
      <c r="G98" s="7">
        <v>39</v>
      </c>
      <c r="H98" s="7">
        <v>19</v>
      </c>
      <c r="I98" s="7">
        <v>20</v>
      </c>
      <c r="J98" s="7">
        <v>8986</v>
      </c>
      <c r="K98" s="7">
        <v>3068</v>
      </c>
      <c r="L98" s="7">
        <v>2213</v>
      </c>
      <c r="M98" s="7">
        <v>6052</v>
      </c>
      <c r="N98" s="7">
        <v>1531</v>
      </c>
      <c r="O98" s="7">
        <v>14</v>
      </c>
      <c r="P98" s="7">
        <v>4882</v>
      </c>
      <c r="Q98" s="22">
        <f t="shared" si="11"/>
        <v>0.24627197863342978</v>
      </c>
      <c r="R98" s="22">
        <f t="shared" si="12"/>
        <v>0.5432895615401736</v>
      </c>
      <c r="S98" s="22" t="e">
        <f t="shared" si="13"/>
        <v>#N/A</v>
      </c>
      <c r="T98" s="22" t="e">
        <f t="shared" si="14"/>
        <v>#N/A</v>
      </c>
      <c r="U98" s="22">
        <f t="shared" si="15"/>
        <v>1.5579790785666592E-3</v>
      </c>
      <c r="V98" s="23">
        <f t="shared" si="16"/>
        <v>0.69182105738816091</v>
      </c>
      <c r="W98" s="24">
        <f t="shared" si="17"/>
        <v>4.3213296398891968E-3</v>
      </c>
      <c r="X98" s="24">
        <f t="shared" si="18"/>
        <v>0.17037614066325396</v>
      </c>
      <c r="Y98" s="23">
        <f t="shared" si="19"/>
        <v>0.99567867036011082</v>
      </c>
    </row>
    <row r="99" spans="1:25">
      <c r="A99">
        <v>98</v>
      </c>
      <c r="B99" t="s">
        <v>965</v>
      </c>
      <c r="C99" t="s">
        <v>523</v>
      </c>
      <c r="D99" s="4">
        <v>45498.677083333336</v>
      </c>
      <c r="E99" s="10" t="s">
        <v>795</v>
      </c>
      <c r="F99" s="7">
        <v>870</v>
      </c>
      <c r="G99" s="7">
        <v>6</v>
      </c>
      <c r="H99" s="7">
        <v>5</v>
      </c>
      <c r="I99" s="7">
        <v>1</v>
      </c>
      <c r="J99" s="7">
        <v>864</v>
      </c>
      <c r="K99" s="7">
        <v>281</v>
      </c>
      <c r="L99" s="7">
        <v>212</v>
      </c>
      <c r="M99" s="7">
        <v>340</v>
      </c>
      <c r="N99" s="7">
        <v>99</v>
      </c>
      <c r="O99" s="7">
        <v>3</v>
      </c>
      <c r="P99" s="7">
        <v>327</v>
      </c>
      <c r="Q99" s="22">
        <f t="shared" si="11"/>
        <v>0.24537037037037038</v>
      </c>
      <c r="R99" s="22">
        <f t="shared" si="12"/>
        <v>0.37847222222222221</v>
      </c>
      <c r="S99" s="22" t="e">
        <f t="shared" si="13"/>
        <v>#N/A</v>
      </c>
      <c r="T99" s="22" t="e">
        <f t="shared" si="14"/>
        <v>#N/A</v>
      </c>
      <c r="U99" s="22">
        <f t="shared" si="15"/>
        <v>3.472222222222222E-3</v>
      </c>
      <c r="V99" s="23">
        <f t="shared" si="16"/>
        <v>0.46698113207547171</v>
      </c>
      <c r="W99" s="24">
        <f t="shared" si="17"/>
        <v>6.8965517241379309E-3</v>
      </c>
      <c r="X99" s="24">
        <f t="shared" si="18"/>
        <v>0.11458333333333333</v>
      </c>
      <c r="Y99" s="23">
        <f t="shared" si="19"/>
        <v>0.99310344827586206</v>
      </c>
    </row>
    <row r="100" spans="1:25">
      <c r="A100">
        <v>99</v>
      </c>
      <c r="B100" t="s">
        <v>1054</v>
      </c>
      <c r="C100" t="s">
        <v>623</v>
      </c>
      <c r="D100" s="4">
        <v>45499.354166666664</v>
      </c>
      <c r="E100" s="10" t="s">
        <v>851</v>
      </c>
      <c r="F100" s="7">
        <v>3461</v>
      </c>
      <c r="G100" s="7">
        <v>5</v>
      </c>
      <c r="H100" s="7">
        <v>5</v>
      </c>
      <c r="I100" s="7">
        <v>0</v>
      </c>
      <c r="J100" s="7">
        <v>3456</v>
      </c>
      <c r="K100" s="7">
        <v>1342</v>
      </c>
      <c r="L100" s="7">
        <v>953</v>
      </c>
      <c r="M100" s="7">
        <v>185</v>
      </c>
      <c r="N100" s="7">
        <v>66</v>
      </c>
      <c r="O100" s="7">
        <v>3</v>
      </c>
      <c r="P100" s="7">
        <v>2189</v>
      </c>
      <c r="Q100" s="22">
        <f t="shared" si="11"/>
        <v>0.27575231481481483</v>
      </c>
      <c r="R100" s="22">
        <f t="shared" si="12"/>
        <v>0.63339120370370372</v>
      </c>
      <c r="S100" s="22" t="e">
        <f t="shared" si="13"/>
        <v>#N/A</v>
      </c>
      <c r="T100" s="22" t="e">
        <f t="shared" si="14"/>
        <v>#N/A</v>
      </c>
      <c r="U100" s="22">
        <f t="shared" si="15"/>
        <v>8.6805555555555551E-4</v>
      </c>
      <c r="V100" s="23">
        <f t="shared" si="16"/>
        <v>6.9254984260230856E-2</v>
      </c>
      <c r="W100" s="24">
        <f t="shared" si="17"/>
        <v>1.444669170759896E-3</v>
      </c>
      <c r="X100" s="24">
        <f t="shared" si="18"/>
        <v>1.9097222222222224E-2</v>
      </c>
      <c r="Y100" s="23">
        <f t="shared" si="19"/>
        <v>0.99855533082924008</v>
      </c>
    </row>
    <row r="101" spans="1:25">
      <c r="A101">
        <v>100</v>
      </c>
      <c r="B101" t="s">
        <v>1056</v>
      </c>
      <c r="C101" t="s">
        <v>652</v>
      </c>
      <c r="D101" s="4">
        <v>45500.361111111109</v>
      </c>
      <c r="E101" s="10" t="s">
        <v>847</v>
      </c>
      <c r="F101" s="7">
        <v>529</v>
      </c>
      <c r="G101" s="7">
        <v>3</v>
      </c>
      <c r="H101" s="7">
        <v>3</v>
      </c>
      <c r="I101" s="7">
        <v>0</v>
      </c>
      <c r="J101" s="7">
        <v>526</v>
      </c>
      <c r="K101" s="7">
        <v>473</v>
      </c>
      <c r="L101" s="7">
        <v>116</v>
      </c>
      <c r="M101" s="7">
        <v>0</v>
      </c>
      <c r="N101" s="7">
        <v>0</v>
      </c>
      <c r="O101" s="7">
        <v>1</v>
      </c>
      <c r="P101" s="7">
        <v>345</v>
      </c>
      <c r="Q101" s="22">
        <f t="shared" si="11"/>
        <v>0.22053231939163498</v>
      </c>
      <c r="R101" s="22">
        <f t="shared" si="12"/>
        <v>0.655893536121673</v>
      </c>
      <c r="S101" s="22" t="e">
        <f t="shared" si="13"/>
        <v>#N/A</v>
      </c>
      <c r="T101" s="22" t="e">
        <f t="shared" si="14"/>
        <v>#N/A</v>
      </c>
      <c r="U101" s="22">
        <f t="shared" si="15"/>
        <v>1.9011406844106464E-3</v>
      </c>
      <c r="V101" s="23">
        <f t="shared" si="16"/>
        <v>0</v>
      </c>
      <c r="W101" s="24">
        <f t="shared" si="17"/>
        <v>5.6710775047258983E-3</v>
      </c>
      <c r="X101" s="24">
        <f t="shared" si="18"/>
        <v>0</v>
      </c>
      <c r="Y101" s="23">
        <f t="shared" si="19"/>
        <v>0.99432892249527405</v>
      </c>
    </row>
    <row r="102" spans="1:25">
      <c r="A102">
        <v>101</v>
      </c>
      <c r="B102" t="s">
        <v>1054</v>
      </c>
      <c r="C102" t="s">
        <v>622</v>
      </c>
      <c r="D102" s="4">
        <v>45500.416666666664</v>
      </c>
      <c r="E102" s="10" t="s">
        <v>852</v>
      </c>
      <c r="F102" s="7">
        <v>244</v>
      </c>
      <c r="G102" s="7">
        <v>0</v>
      </c>
      <c r="H102" s="7">
        <v>0</v>
      </c>
      <c r="I102" s="7">
        <v>0</v>
      </c>
      <c r="J102" s="7">
        <v>244</v>
      </c>
      <c r="K102" s="7">
        <v>148</v>
      </c>
      <c r="L102" s="7">
        <v>88</v>
      </c>
      <c r="M102" s="7">
        <v>14</v>
      </c>
      <c r="N102" s="7">
        <v>10</v>
      </c>
      <c r="O102" s="7">
        <v>0</v>
      </c>
      <c r="P102" s="7">
        <v>123</v>
      </c>
      <c r="Q102" s="22">
        <f t="shared" si="11"/>
        <v>0.36065573770491804</v>
      </c>
      <c r="R102" s="22">
        <f t="shared" si="12"/>
        <v>0.50409836065573765</v>
      </c>
      <c r="S102" s="22" t="e">
        <f t="shared" si="13"/>
        <v>#N/A</v>
      </c>
      <c r="T102" s="22" t="e">
        <f t="shared" si="14"/>
        <v>#N/A</v>
      </c>
      <c r="U102" s="22">
        <f t="shared" si="15"/>
        <v>0</v>
      </c>
      <c r="V102" s="23">
        <f t="shared" si="16"/>
        <v>0.11363636363636363</v>
      </c>
      <c r="W102" s="24">
        <f t="shared" si="17"/>
        <v>0</v>
      </c>
      <c r="X102" s="24">
        <f t="shared" si="18"/>
        <v>4.0983606557377046E-2</v>
      </c>
      <c r="Y102" s="23">
        <f t="shared" si="19"/>
        <v>1</v>
      </c>
    </row>
    <row r="103" spans="1:25">
      <c r="A103">
        <v>102</v>
      </c>
      <c r="B103" t="s">
        <v>965</v>
      </c>
      <c r="C103" t="s">
        <v>522</v>
      </c>
      <c r="D103" s="4">
        <v>45501.625</v>
      </c>
      <c r="E103" s="10" t="s">
        <v>817</v>
      </c>
      <c r="F103" s="7">
        <v>866</v>
      </c>
      <c r="G103" s="7">
        <v>3</v>
      </c>
      <c r="H103" s="7">
        <v>3</v>
      </c>
      <c r="I103" s="7">
        <v>0</v>
      </c>
      <c r="J103" s="7">
        <v>863</v>
      </c>
      <c r="K103" s="7">
        <v>203</v>
      </c>
      <c r="L103" s="7">
        <v>163</v>
      </c>
      <c r="M103" s="7">
        <v>296</v>
      </c>
      <c r="N103" s="7">
        <v>85</v>
      </c>
      <c r="O103" s="7">
        <v>0</v>
      </c>
      <c r="P103" s="7">
        <v>323</v>
      </c>
      <c r="Q103" s="22">
        <f t="shared" si="11"/>
        <v>0.18887601390498263</v>
      </c>
      <c r="R103" s="22">
        <f t="shared" si="12"/>
        <v>0.3742757821552723</v>
      </c>
      <c r="S103" s="22" t="e">
        <f t="shared" si="13"/>
        <v>#N/A</v>
      </c>
      <c r="T103" s="22" t="e">
        <f t="shared" si="14"/>
        <v>#N/A</v>
      </c>
      <c r="U103" s="22">
        <f t="shared" si="15"/>
        <v>0</v>
      </c>
      <c r="V103" s="23">
        <f t="shared" si="16"/>
        <v>0.5214723926380368</v>
      </c>
      <c r="W103" s="24">
        <f t="shared" si="17"/>
        <v>3.4642032332563512E-3</v>
      </c>
      <c r="X103" s="24">
        <f t="shared" si="18"/>
        <v>9.8493626882966395E-2</v>
      </c>
      <c r="Y103" s="23">
        <f t="shared" si="19"/>
        <v>0.99653579676674364</v>
      </c>
    </row>
    <row r="104" spans="1:25">
      <c r="A104">
        <v>103</v>
      </c>
      <c r="B104" t="s">
        <v>1054</v>
      </c>
      <c r="C104" t="s">
        <v>621</v>
      </c>
      <c r="D104" s="4">
        <v>45506.518055555556</v>
      </c>
      <c r="E104" s="10" t="s">
        <v>853</v>
      </c>
      <c r="F104" s="7">
        <v>3447</v>
      </c>
      <c r="G104" s="7">
        <v>14</v>
      </c>
      <c r="H104" s="7">
        <v>2</v>
      </c>
      <c r="I104" s="7">
        <v>12</v>
      </c>
      <c r="J104" s="7">
        <v>3433</v>
      </c>
      <c r="K104" s="7">
        <v>1772</v>
      </c>
      <c r="L104" s="7">
        <v>1113</v>
      </c>
      <c r="M104" s="7">
        <v>142</v>
      </c>
      <c r="N104" s="7">
        <v>106</v>
      </c>
      <c r="O104" s="7">
        <v>16</v>
      </c>
      <c r="P104" s="7">
        <v>1234</v>
      </c>
      <c r="Q104" s="22">
        <f t="shared" si="11"/>
        <v>0.32420623361491407</v>
      </c>
      <c r="R104" s="22">
        <f t="shared" si="12"/>
        <v>0.35945237401689484</v>
      </c>
      <c r="S104" s="22" t="e">
        <f t="shared" si="13"/>
        <v>#N/A</v>
      </c>
      <c r="T104" s="22" t="e">
        <f t="shared" si="14"/>
        <v>#N/A</v>
      </c>
      <c r="U104" s="22">
        <f t="shared" si="15"/>
        <v>4.6606466647247302E-3</v>
      </c>
      <c r="V104" s="23">
        <f t="shared" si="16"/>
        <v>9.5238095238095233E-2</v>
      </c>
      <c r="W104" s="24">
        <f t="shared" si="17"/>
        <v>4.0615027560197275E-3</v>
      </c>
      <c r="X104" s="24">
        <f t="shared" si="18"/>
        <v>3.0876784153801341E-2</v>
      </c>
      <c r="Y104" s="23">
        <f t="shared" si="19"/>
        <v>0.99593849724398031</v>
      </c>
    </row>
    <row r="105" spans="1:25">
      <c r="A105">
        <v>104</v>
      </c>
      <c r="B105" t="s">
        <v>1054</v>
      </c>
      <c r="C105" t="s">
        <v>587</v>
      </c>
      <c r="D105" s="4">
        <v>45506.675925925927</v>
      </c>
      <c r="E105" s="10" t="s">
        <v>854</v>
      </c>
      <c r="F105" s="7">
        <v>16</v>
      </c>
      <c r="G105" s="7">
        <v>1</v>
      </c>
      <c r="H105" s="7">
        <v>0</v>
      </c>
      <c r="I105" s="7">
        <v>1</v>
      </c>
      <c r="J105" s="7">
        <v>15</v>
      </c>
      <c r="K105" s="7">
        <v>110</v>
      </c>
      <c r="L105" s="7">
        <v>14</v>
      </c>
      <c r="M105" s="7">
        <v>9</v>
      </c>
      <c r="N105" s="7">
        <v>6</v>
      </c>
      <c r="O105" s="7">
        <v>0</v>
      </c>
      <c r="P105" s="7">
        <v>2</v>
      </c>
      <c r="Q105" s="22">
        <f t="shared" si="11"/>
        <v>0.93333333333333335</v>
      </c>
      <c r="R105" s="22">
        <f t="shared" si="12"/>
        <v>0.13333333333333333</v>
      </c>
      <c r="S105" s="22" t="e">
        <f t="shared" si="13"/>
        <v>#N/A</v>
      </c>
      <c r="T105" s="22" t="e">
        <f t="shared" si="14"/>
        <v>#N/A</v>
      </c>
      <c r="U105" s="22">
        <f t="shared" si="15"/>
        <v>0</v>
      </c>
      <c r="V105" s="23">
        <f t="shared" si="16"/>
        <v>0.42857142857142855</v>
      </c>
      <c r="W105" s="24">
        <f t="shared" si="17"/>
        <v>6.25E-2</v>
      </c>
      <c r="X105" s="24">
        <f t="shared" si="18"/>
        <v>0.4</v>
      </c>
      <c r="Y105" s="23">
        <f t="shared" si="19"/>
        <v>0.9375</v>
      </c>
    </row>
    <row r="106" spans="1:25">
      <c r="A106">
        <v>105</v>
      </c>
      <c r="B106" t="s">
        <v>1054</v>
      </c>
      <c r="C106" t="s">
        <v>620</v>
      </c>
      <c r="D106" s="4">
        <v>45507.511111111111</v>
      </c>
      <c r="E106" s="10" t="s">
        <v>855</v>
      </c>
      <c r="F106" s="7">
        <v>243</v>
      </c>
      <c r="G106" s="7">
        <v>0</v>
      </c>
      <c r="H106" s="7">
        <v>0</v>
      </c>
      <c r="I106" s="7">
        <v>0</v>
      </c>
      <c r="J106" s="7">
        <v>243</v>
      </c>
      <c r="K106" s="7">
        <v>118</v>
      </c>
      <c r="L106" s="7">
        <v>86</v>
      </c>
      <c r="M106" s="7">
        <v>10</v>
      </c>
      <c r="N106" s="7">
        <v>6</v>
      </c>
      <c r="O106" s="7">
        <v>0</v>
      </c>
      <c r="P106" s="7">
        <v>178</v>
      </c>
      <c r="Q106" s="22">
        <f t="shared" si="11"/>
        <v>0.35390946502057613</v>
      </c>
      <c r="R106" s="22">
        <f t="shared" si="12"/>
        <v>0.73251028806584362</v>
      </c>
      <c r="S106" s="22" t="e">
        <f t="shared" si="13"/>
        <v>#N/A</v>
      </c>
      <c r="T106" s="22" t="e">
        <f t="shared" si="14"/>
        <v>#N/A</v>
      </c>
      <c r="U106" s="22">
        <f t="shared" si="15"/>
        <v>0</v>
      </c>
      <c r="V106" s="23">
        <f t="shared" si="16"/>
        <v>6.9767441860465115E-2</v>
      </c>
      <c r="W106" s="24">
        <f t="shared" si="17"/>
        <v>0</v>
      </c>
      <c r="X106" s="24">
        <f t="shared" si="18"/>
        <v>2.4691358024691357E-2</v>
      </c>
      <c r="Y106" s="23">
        <f t="shared" si="19"/>
        <v>1</v>
      </c>
    </row>
    <row r="107" spans="1:25">
      <c r="A107">
        <v>106</v>
      </c>
      <c r="B107" t="s">
        <v>967</v>
      </c>
      <c r="C107" t="s">
        <v>556</v>
      </c>
      <c r="D107" s="4">
        <v>45508.736111111109</v>
      </c>
      <c r="E107" s="10" t="s">
        <v>856</v>
      </c>
      <c r="F107" s="7">
        <v>9785</v>
      </c>
      <c r="G107" s="7">
        <v>87</v>
      </c>
      <c r="H107" s="7">
        <v>24</v>
      </c>
      <c r="I107" s="7">
        <v>63</v>
      </c>
      <c r="J107" s="7">
        <v>9698</v>
      </c>
      <c r="K107" s="7">
        <v>3031</v>
      </c>
      <c r="L107" s="7">
        <v>2186</v>
      </c>
      <c r="M107" s="7">
        <v>6082</v>
      </c>
      <c r="N107" s="7">
        <v>1564</v>
      </c>
      <c r="O107" s="7">
        <v>10</v>
      </c>
      <c r="P107" s="7">
        <v>3456</v>
      </c>
      <c r="Q107" s="22">
        <f t="shared" si="11"/>
        <v>0.22540730047432461</v>
      </c>
      <c r="R107" s="22">
        <f t="shared" si="12"/>
        <v>0.35636213652299442</v>
      </c>
      <c r="S107" s="22" t="e">
        <f t="shared" si="13"/>
        <v>#N/A</v>
      </c>
      <c r="T107" s="22" t="e">
        <f t="shared" si="14"/>
        <v>#N/A</v>
      </c>
      <c r="U107" s="22">
        <f t="shared" si="15"/>
        <v>1.0311404413281089E-3</v>
      </c>
      <c r="V107" s="23">
        <f t="shared" si="16"/>
        <v>0.71546203110704487</v>
      </c>
      <c r="W107" s="24">
        <f t="shared" si="17"/>
        <v>8.8911599386816559E-3</v>
      </c>
      <c r="X107" s="24">
        <f t="shared" si="18"/>
        <v>0.16127036502371622</v>
      </c>
      <c r="Y107" s="23">
        <f t="shared" si="19"/>
        <v>0.99110884006131839</v>
      </c>
    </row>
    <row r="108" spans="1:25">
      <c r="A108">
        <v>107</v>
      </c>
      <c r="B108" t="s">
        <v>1056</v>
      </c>
      <c r="C108" t="s">
        <v>693</v>
      </c>
      <c r="D108" s="4">
        <v>45509.34375</v>
      </c>
      <c r="E108" s="10" t="s">
        <v>857</v>
      </c>
      <c r="F108" s="7">
        <v>734</v>
      </c>
      <c r="G108" s="7">
        <v>28</v>
      </c>
      <c r="H108" s="7">
        <v>12</v>
      </c>
      <c r="I108" s="7">
        <v>16</v>
      </c>
      <c r="J108" s="7">
        <v>706</v>
      </c>
      <c r="K108" s="7">
        <v>400</v>
      </c>
      <c r="L108" s="7">
        <v>140</v>
      </c>
      <c r="M108" s="7">
        <v>12</v>
      </c>
      <c r="N108" s="7">
        <v>10</v>
      </c>
      <c r="O108" s="7">
        <v>5</v>
      </c>
      <c r="P108" s="7">
        <v>234</v>
      </c>
      <c r="Q108" s="22">
        <f t="shared" si="11"/>
        <v>0.19830028328611898</v>
      </c>
      <c r="R108" s="22">
        <f t="shared" si="12"/>
        <v>0.33144475920679889</v>
      </c>
      <c r="S108" s="22" t="e">
        <f t="shared" si="13"/>
        <v>#N/A</v>
      </c>
      <c r="T108" s="22" t="e">
        <f t="shared" si="14"/>
        <v>#N/A</v>
      </c>
      <c r="U108" s="22">
        <f t="shared" si="15"/>
        <v>7.0821529745042494E-3</v>
      </c>
      <c r="V108" s="23">
        <f t="shared" si="16"/>
        <v>7.1428571428571425E-2</v>
      </c>
      <c r="W108" s="24">
        <f t="shared" si="17"/>
        <v>3.8147138964577658E-2</v>
      </c>
      <c r="X108" s="24">
        <f t="shared" si="18"/>
        <v>1.4164305949008499E-2</v>
      </c>
      <c r="Y108" s="23">
        <f t="shared" si="19"/>
        <v>0.96185286103542234</v>
      </c>
    </row>
    <row r="109" spans="1:25">
      <c r="A109">
        <v>108</v>
      </c>
      <c r="B109" t="s">
        <v>1054</v>
      </c>
      <c r="C109" t="s">
        <v>619</v>
      </c>
      <c r="D109" s="4">
        <v>45513.527777777781</v>
      </c>
      <c r="E109" s="10" t="s">
        <v>858</v>
      </c>
      <c r="F109" s="7">
        <v>767</v>
      </c>
      <c r="G109" s="7">
        <v>5</v>
      </c>
      <c r="H109" s="7">
        <v>2</v>
      </c>
      <c r="I109" s="7">
        <v>3</v>
      </c>
      <c r="J109" s="7">
        <v>762</v>
      </c>
      <c r="K109" s="7">
        <v>270</v>
      </c>
      <c r="L109" s="7">
        <v>208</v>
      </c>
      <c r="M109" s="7">
        <v>28</v>
      </c>
      <c r="N109" s="7">
        <v>20</v>
      </c>
      <c r="O109" s="7">
        <v>0</v>
      </c>
      <c r="P109" s="7">
        <v>456</v>
      </c>
      <c r="Q109" s="22">
        <f t="shared" si="11"/>
        <v>0.27296587926509186</v>
      </c>
      <c r="R109" s="22">
        <f t="shared" si="12"/>
        <v>0.59842519685039375</v>
      </c>
      <c r="S109" s="22" t="e">
        <f t="shared" si="13"/>
        <v>#N/A</v>
      </c>
      <c r="T109" s="22" t="e">
        <f t="shared" si="14"/>
        <v>#N/A</v>
      </c>
      <c r="U109" s="22">
        <f t="shared" si="15"/>
        <v>0</v>
      </c>
      <c r="V109" s="23">
        <f t="shared" si="16"/>
        <v>9.6153846153846159E-2</v>
      </c>
      <c r="W109" s="24">
        <f t="shared" si="17"/>
        <v>6.51890482398957E-3</v>
      </c>
      <c r="X109" s="24">
        <f t="shared" si="18"/>
        <v>2.6246719160104987E-2</v>
      </c>
      <c r="Y109" s="23">
        <f t="shared" si="19"/>
        <v>0.99348109517601046</v>
      </c>
    </row>
    <row r="110" spans="1:25">
      <c r="A110">
        <v>109</v>
      </c>
      <c r="B110" t="s">
        <v>1054</v>
      </c>
      <c r="C110" t="s">
        <v>618</v>
      </c>
      <c r="D110" s="4">
        <v>45513.527777777781</v>
      </c>
      <c r="E110" s="10" t="s">
        <v>858</v>
      </c>
      <c r="F110" s="7">
        <v>767</v>
      </c>
      <c r="G110" s="7">
        <v>3</v>
      </c>
      <c r="H110" s="7">
        <v>1</v>
      </c>
      <c r="I110" s="7">
        <v>2</v>
      </c>
      <c r="J110" s="7">
        <v>764</v>
      </c>
      <c r="K110" s="7">
        <v>295</v>
      </c>
      <c r="L110" s="7">
        <v>233</v>
      </c>
      <c r="M110" s="7">
        <v>15</v>
      </c>
      <c r="N110" s="7">
        <v>9</v>
      </c>
      <c r="O110" s="7">
        <v>0</v>
      </c>
      <c r="P110" s="7">
        <v>456</v>
      </c>
      <c r="Q110" s="22">
        <f t="shared" si="11"/>
        <v>0.30497382198952877</v>
      </c>
      <c r="R110" s="22">
        <f t="shared" si="12"/>
        <v>0.59685863874345546</v>
      </c>
      <c r="S110" s="22" t="e">
        <f t="shared" si="13"/>
        <v>#N/A</v>
      </c>
      <c r="T110" s="22" t="e">
        <f t="shared" si="14"/>
        <v>#N/A</v>
      </c>
      <c r="U110" s="22">
        <f t="shared" si="15"/>
        <v>0</v>
      </c>
      <c r="V110" s="23">
        <f t="shared" si="16"/>
        <v>3.8626609442060089E-2</v>
      </c>
      <c r="W110" s="24">
        <f t="shared" si="17"/>
        <v>3.9113428943937422E-3</v>
      </c>
      <c r="X110" s="24">
        <f t="shared" si="18"/>
        <v>1.1780104712041885E-2</v>
      </c>
      <c r="Y110" s="23">
        <f t="shared" si="19"/>
        <v>0.99608865710560623</v>
      </c>
    </row>
    <row r="111" spans="1:25">
      <c r="A111">
        <v>110</v>
      </c>
      <c r="B111" t="s">
        <v>1054</v>
      </c>
      <c r="C111" t="s">
        <v>618</v>
      </c>
      <c r="D111" s="4">
        <v>45513.653900462959</v>
      </c>
      <c r="E111" s="10" t="s">
        <v>859</v>
      </c>
      <c r="F111" s="7">
        <v>4601</v>
      </c>
      <c r="G111" s="7">
        <v>19</v>
      </c>
      <c r="H111" s="7">
        <v>13</v>
      </c>
      <c r="I111" s="7">
        <v>6</v>
      </c>
      <c r="J111" s="7">
        <v>4582</v>
      </c>
      <c r="K111" s="7">
        <v>1629</v>
      </c>
      <c r="L111" s="7">
        <v>1190</v>
      </c>
      <c r="M111" s="7">
        <v>111</v>
      </c>
      <c r="N111" s="7">
        <v>72</v>
      </c>
      <c r="O111" s="7">
        <v>12</v>
      </c>
      <c r="P111" s="7">
        <v>1134</v>
      </c>
      <c r="Q111" s="22">
        <f t="shared" si="11"/>
        <v>0.25971191619380185</v>
      </c>
      <c r="R111" s="22">
        <f t="shared" si="12"/>
        <v>0.24749017896115233</v>
      </c>
      <c r="S111" s="22" t="e">
        <f t="shared" si="13"/>
        <v>#N/A</v>
      </c>
      <c r="T111" s="22" t="e">
        <f t="shared" si="14"/>
        <v>#N/A</v>
      </c>
      <c r="U111" s="22">
        <f t="shared" si="15"/>
        <v>2.6189436927106066E-3</v>
      </c>
      <c r="V111" s="23">
        <f t="shared" si="16"/>
        <v>6.0504201680672269E-2</v>
      </c>
      <c r="W111" s="24">
        <f t="shared" si="17"/>
        <v>4.1295370571614864E-3</v>
      </c>
      <c r="X111" s="24">
        <f t="shared" si="18"/>
        <v>1.5713662156263641E-2</v>
      </c>
      <c r="Y111" s="23">
        <f t="shared" si="19"/>
        <v>0.99587046294283854</v>
      </c>
    </row>
    <row r="112" spans="1:25">
      <c r="A112">
        <v>111</v>
      </c>
      <c r="B112" t="s">
        <v>1054</v>
      </c>
      <c r="C112" t="s">
        <v>617</v>
      </c>
      <c r="D112" s="4">
        <v>45514.436111111114</v>
      </c>
      <c r="E112" s="10" t="s">
        <v>860</v>
      </c>
      <c r="F112" s="7">
        <v>243</v>
      </c>
      <c r="G112" s="7">
        <v>0</v>
      </c>
      <c r="H112" s="7">
        <v>0</v>
      </c>
      <c r="I112" s="7">
        <v>0</v>
      </c>
      <c r="J112" s="7">
        <v>243</v>
      </c>
      <c r="K112" s="7">
        <v>135</v>
      </c>
      <c r="L112" s="7">
        <v>83</v>
      </c>
      <c r="M112" s="7">
        <v>10</v>
      </c>
      <c r="N112" s="7">
        <v>6</v>
      </c>
      <c r="O112" s="7">
        <v>0</v>
      </c>
      <c r="P112" s="7">
        <v>98</v>
      </c>
      <c r="Q112" s="22">
        <f t="shared" si="11"/>
        <v>0.34156378600823045</v>
      </c>
      <c r="R112" s="22">
        <f t="shared" si="12"/>
        <v>0.40329218106995884</v>
      </c>
      <c r="S112" s="22" t="e">
        <f t="shared" si="13"/>
        <v>#N/A</v>
      </c>
      <c r="T112" s="22" t="e">
        <f t="shared" si="14"/>
        <v>#N/A</v>
      </c>
      <c r="U112" s="22">
        <f t="shared" si="15"/>
        <v>0</v>
      </c>
      <c r="V112" s="23">
        <f t="shared" si="16"/>
        <v>7.2289156626506021E-2</v>
      </c>
      <c r="W112" s="24">
        <f t="shared" si="17"/>
        <v>0</v>
      </c>
      <c r="X112" s="24">
        <f t="shared" si="18"/>
        <v>2.4691358024691357E-2</v>
      </c>
      <c r="Y112" s="23">
        <f t="shared" si="19"/>
        <v>1</v>
      </c>
    </row>
    <row r="113" spans="1:25">
      <c r="A113">
        <v>112</v>
      </c>
      <c r="B113" t="s">
        <v>1052</v>
      </c>
      <c r="C113" t="s">
        <v>560</v>
      </c>
      <c r="D113" s="4">
        <v>45515.767361111109</v>
      </c>
      <c r="E113" s="10" t="s">
        <v>861</v>
      </c>
      <c r="F113" s="7">
        <v>740</v>
      </c>
      <c r="G113" s="7">
        <v>1</v>
      </c>
      <c r="H113" s="7">
        <v>0</v>
      </c>
      <c r="I113" s="7">
        <v>1</v>
      </c>
      <c r="J113" s="7">
        <v>739</v>
      </c>
      <c r="K113" s="7">
        <v>347</v>
      </c>
      <c r="L113" s="7">
        <v>230</v>
      </c>
      <c r="M113" s="7">
        <v>33</v>
      </c>
      <c r="N113" s="7">
        <v>16</v>
      </c>
      <c r="O113" s="7">
        <v>3</v>
      </c>
      <c r="P113" s="7">
        <v>297</v>
      </c>
      <c r="Q113" s="22">
        <f t="shared" si="11"/>
        <v>0.31123139377537212</v>
      </c>
      <c r="R113" s="22">
        <f t="shared" si="12"/>
        <v>0.40189445196211099</v>
      </c>
      <c r="S113" s="22" t="e">
        <f t="shared" si="13"/>
        <v>#N/A</v>
      </c>
      <c r="T113" s="22" t="e">
        <f t="shared" si="14"/>
        <v>#N/A</v>
      </c>
      <c r="U113" s="22">
        <f t="shared" si="15"/>
        <v>4.0595399188092015E-3</v>
      </c>
      <c r="V113" s="23">
        <f t="shared" si="16"/>
        <v>6.9565217391304349E-2</v>
      </c>
      <c r="W113" s="24">
        <f t="shared" si="17"/>
        <v>1.3513513513513514E-3</v>
      </c>
      <c r="X113" s="24">
        <f t="shared" si="18"/>
        <v>2.165087956698241E-2</v>
      </c>
      <c r="Y113" s="23">
        <f t="shared" si="19"/>
        <v>0.99864864864864866</v>
      </c>
    </row>
    <row r="114" spans="1:25">
      <c r="A114">
        <v>113</v>
      </c>
      <c r="B114" t="s">
        <v>1056</v>
      </c>
      <c r="C114" t="s">
        <v>651</v>
      </c>
      <c r="D114" s="4">
        <v>45516.438888888886</v>
      </c>
      <c r="E114" s="10" t="s">
        <v>862</v>
      </c>
      <c r="F114" s="7">
        <v>216</v>
      </c>
      <c r="G114" s="7">
        <v>0</v>
      </c>
      <c r="H114" s="7">
        <v>0</v>
      </c>
      <c r="I114" s="7">
        <v>0</v>
      </c>
      <c r="J114" s="7">
        <v>216</v>
      </c>
      <c r="K114" s="7">
        <v>202</v>
      </c>
      <c r="L114" s="7">
        <v>98</v>
      </c>
      <c r="M114" s="7">
        <v>159</v>
      </c>
      <c r="N114" s="7">
        <v>48</v>
      </c>
      <c r="O114" s="7">
        <v>0</v>
      </c>
      <c r="P114" s="7">
        <v>197</v>
      </c>
      <c r="Q114" s="22">
        <f t="shared" si="11"/>
        <v>0.45370370370370372</v>
      </c>
      <c r="R114" s="22">
        <f t="shared" si="12"/>
        <v>0.91203703703703709</v>
      </c>
      <c r="S114" s="22" t="e">
        <f t="shared" si="13"/>
        <v>#N/A</v>
      </c>
      <c r="T114" s="22" t="e">
        <f t="shared" si="14"/>
        <v>#N/A</v>
      </c>
      <c r="U114" s="22">
        <f t="shared" si="15"/>
        <v>0</v>
      </c>
      <c r="V114" s="23">
        <f t="shared" si="16"/>
        <v>0.48979591836734693</v>
      </c>
      <c r="W114" s="24">
        <f t="shared" si="17"/>
        <v>0</v>
      </c>
      <c r="X114" s="24">
        <f t="shared" si="18"/>
        <v>0.22222222222222221</v>
      </c>
      <c r="Y114" s="23">
        <f t="shared" si="19"/>
        <v>1</v>
      </c>
    </row>
    <row r="115" spans="1:25">
      <c r="A115">
        <v>114</v>
      </c>
      <c r="B115" t="s">
        <v>1056</v>
      </c>
      <c r="C115" t="s">
        <v>650</v>
      </c>
      <c r="D115" s="4">
        <v>45516.583333333336</v>
      </c>
      <c r="E115" s="10" t="s">
        <v>819</v>
      </c>
      <c r="F115" s="7">
        <v>728</v>
      </c>
      <c r="G115" s="7">
        <v>4</v>
      </c>
      <c r="H115" s="7">
        <v>2</v>
      </c>
      <c r="I115" s="7">
        <v>2</v>
      </c>
      <c r="J115" s="7">
        <v>724</v>
      </c>
      <c r="K115" s="7">
        <v>269</v>
      </c>
      <c r="L115" s="7">
        <v>130</v>
      </c>
      <c r="M115" s="7">
        <v>16</v>
      </c>
      <c r="N115" s="7">
        <v>11</v>
      </c>
      <c r="O115" s="7">
        <v>0</v>
      </c>
      <c r="P115" s="7">
        <v>345</v>
      </c>
      <c r="Q115" s="22">
        <f t="shared" si="11"/>
        <v>0.17955801104972377</v>
      </c>
      <c r="R115" s="22">
        <f t="shared" si="12"/>
        <v>0.47651933701657456</v>
      </c>
      <c r="S115" s="22" t="e">
        <f t="shared" si="13"/>
        <v>#N/A</v>
      </c>
      <c r="T115" s="22" t="e">
        <f t="shared" si="14"/>
        <v>#N/A</v>
      </c>
      <c r="U115" s="22">
        <f t="shared" si="15"/>
        <v>0</v>
      </c>
      <c r="V115" s="23">
        <f t="shared" si="16"/>
        <v>8.461538461538462E-2</v>
      </c>
      <c r="W115" s="24">
        <f t="shared" si="17"/>
        <v>5.4945054945054949E-3</v>
      </c>
      <c r="X115" s="24">
        <f t="shared" si="18"/>
        <v>1.5193370165745856E-2</v>
      </c>
      <c r="Y115" s="23">
        <f t="shared" si="19"/>
        <v>0.99450549450549453</v>
      </c>
    </row>
    <row r="116" spans="1:25">
      <c r="A116">
        <v>115</v>
      </c>
      <c r="B116" t="s">
        <v>966</v>
      </c>
      <c r="C116" t="s">
        <v>543</v>
      </c>
      <c r="D116" s="4">
        <v>45516.647418981483</v>
      </c>
      <c r="E116" s="10" t="s">
        <v>863</v>
      </c>
      <c r="F116" s="7">
        <v>10245</v>
      </c>
      <c r="G116" s="7">
        <v>46</v>
      </c>
      <c r="H116" s="7">
        <v>29</v>
      </c>
      <c r="I116" s="7">
        <v>17</v>
      </c>
      <c r="J116" s="7">
        <v>10199</v>
      </c>
      <c r="K116" s="7">
        <v>4524</v>
      </c>
      <c r="L116" s="7">
        <v>2887</v>
      </c>
      <c r="M116" s="7">
        <v>578</v>
      </c>
      <c r="N116" s="7">
        <v>327</v>
      </c>
      <c r="O116" s="7">
        <v>23</v>
      </c>
      <c r="P116" s="7">
        <v>5678</v>
      </c>
      <c r="Q116" s="22">
        <f t="shared" si="11"/>
        <v>0.28306696734974018</v>
      </c>
      <c r="R116" s="22">
        <f t="shared" si="12"/>
        <v>0.55672124718109617</v>
      </c>
      <c r="S116" s="22" t="e">
        <f t="shared" si="13"/>
        <v>#N/A</v>
      </c>
      <c r="T116" s="22" t="e">
        <f t="shared" si="14"/>
        <v>#N/A</v>
      </c>
      <c r="U116" s="22">
        <f t="shared" si="15"/>
        <v>2.2551230512795374E-3</v>
      </c>
      <c r="V116" s="23">
        <f t="shared" si="16"/>
        <v>0.11326636647038449</v>
      </c>
      <c r="W116" s="24">
        <f t="shared" si="17"/>
        <v>4.489995119570522E-3</v>
      </c>
      <c r="X116" s="24">
        <f t="shared" si="18"/>
        <v>3.2061966859496027E-2</v>
      </c>
      <c r="Y116" s="23">
        <f t="shared" si="19"/>
        <v>0.99551000488042951</v>
      </c>
    </row>
    <row r="117" spans="1:25">
      <c r="A117">
        <v>116</v>
      </c>
      <c r="B117" t="s">
        <v>1054</v>
      </c>
      <c r="C117" t="s">
        <v>614</v>
      </c>
      <c r="D117" s="4">
        <v>45520.434027777781</v>
      </c>
      <c r="E117" s="10" t="s">
        <v>864</v>
      </c>
      <c r="F117" s="7">
        <v>518</v>
      </c>
      <c r="G117" s="7">
        <v>1</v>
      </c>
      <c r="H117" s="7">
        <v>1</v>
      </c>
      <c r="I117" s="7">
        <v>0</v>
      </c>
      <c r="J117" s="7">
        <v>517</v>
      </c>
      <c r="K117" s="7">
        <v>198</v>
      </c>
      <c r="L117" s="7">
        <v>154</v>
      </c>
      <c r="M117" s="7">
        <v>740</v>
      </c>
      <c r="N117" s="7">
        <v>100</v>
      </c>
      <c r="O117" s="7">
        <v>0</v>
      </c>
      <c r="P117" s="7">
        <v>373</v>
      </c>
      <c r="Q117" s="22">
        <f t="shared" si="11"/>
        <v>0.2978723404255319</v>
      </c>
      <c r="R117" s="22">
        <f t="shared" si="12"/>
        <v>0.72147001934235977</v>
      </c>
      <c r="S117" s="22" t="e">
        <f t="shared" si="13"/>
        <v>#N/A</v>
      </c>
      <c r="T117" s="22" t="e">
        <f t="shared" si="14"/>
        <v>#N/A</v>
      </c>
      <c r="U117" s="22">
        <f t="shared" si="15"/>
        <v>0</v>
      </c>
      <c r="V117" s="23">
        <f t="shared" si="16"/>
        <v>0.64935064935064934</v>
      </c>
      <c r="W117" s="24">
        <f t="shared" si="17"/>
        <v>1.9305019305019305E-3</v>
      </c>
      <c r="X117" s="24">
        <f t="shared" si="18"/>
        <v>0.19342359767891681</v>
      </c>
      <c r="Y117" s="23">
        <f t="shared" si="19"/>
        <v>0.99806949806949807</v>
      </c>
    </row>
    <row r="118" spans="1:25">
      <c r="A118">
        <v>117</v>
      </c>
      <c r="B118" t="s">
        <v>1054</v>
      </c>
      <c r="C118" t="s">
        <v>616</v>
      </c>
      <c r="D118" s="4">
        <v>45520.434027777781</v>
      </c>
      <c r="E118" s="10" t="s">
        <v>864</v>
      </c>
      <c r="F118" s="7">
        <v>519</v>
      </c>
      <c r="G118" s="7">
        <v>2</v>
      </c>
      <c r="H118" s="7">
        <v>1</v>
      </c>
      <c r="I118" s="7">
        <v>1</v>
      </c>
      <c r="J118" s="7">
        <v>517</v>
      </c>
      <c r="K118" s="7">
        <v>193</v>
      </c>
      <c r="L118" s="7">
        <v>137</v>
      </c>
      <c r="M118" s="7">
        <v>686</v>
      </c>
      <c r="N118" s="7">
        <v>78</v>
      </c>
      <c r="O118" s="7">
        <v>0</v>
      </c>
      <c r="P118" s="7">
        <v>374</v>
      </c>
      <c r="Q118" s="22">
        <f t="shared" si="11"/>
        <v>0.26499032882011603</v>
      </c>
      <c r="R118" s="22">
        <f t="shared" si="12"/>
        <v>0.72340425531914898</v>
      </c>
      <c r="S118" s="22" t="e">
        <f t="shared" si="13"/>
        <v>#N/A</v>
      </c>
      <c r="T118" s="22" t="e">
        <f t="shared" si="14"/>
        <v>#N/A</v>
      </c>
      <c r="U118" s="22">
        <f t="shared" si="15"/>
        <v>0</v>
      </c>
      <c r="V118" s="23">
        <f t="shared" si="16"/>
        <v>0.56934306569343063</v>
      </c>
      <c r="W118" s="24">
        <f t="shared" si="17"/>
        <v>3.8535645472061657E-3</v>
      </c>
      <c r="X118" s="24">
        <f t="shared" si="18"/>
        <v>0.15087040618955513</v>
      </c>
      <c r="Y118" s="23">
        <f t="shared" si="19"/>
        <v>0.9961464354527938</v>
      </c>
    </row>
    <row r="119" spans="1:25">
      <c r="A119">
        <v>118</v>
      </c>
      <c r="B119" t="s">
        <v>1054</v>
      </c>
      <c r="C119" t="s">
        <v>615</v>
      </c>
      <c r="D119" s="4">
        <v>45520.527777777781</v>
      </c>
      <c r="E119" s="10" t="s">
        <v>858</v>
      </c>
      <c r="F119" s="7">
        <v>296</v>
      </c>
      <c r="G119" s="7">
        <v>1</v>
      </c>
      <c r="H119" s="7">
        <v>1</v>
      </c>
      <c r="I119" s="7">
        <v>0</v>
      </c>
      <c r="J119" s="7">
        <v>295</v>
      </c>
      <c r="K119" s="7">
        <v>539</v>
      </c>
      <c r="L119" s="7">
        <v>185</v>
      </c>
      <c r="M119" s="7">
        <v>187</v>
      </c>
      <c r="N119" s="7">
        <v>118</v>
      </c>
      <c r="O119" s="7">
        <v>0</v>
      </c>
      <c r="P119" s="7">
        <v>151</v>
      </c>
      <c r="Q119" s="22">
        <f t="shared" si="11"/>
        <v>0.6271186440677966</v>
      </c>
      <c r="R119" s="22">
        <f t="shared" si="12"/>
        <v>0.51186440677966105</v>
      </c>
      <c r="S119" s="22" t="e">
        <f t="shared" si="13"/>
        <v>#N/A</v>
      </c>
      <c r="T119" s="22" t="e">
        <f t="shared" si="14"/>
        <v>#N/A</v>
      </c>
      <c r="U119" s="22">
        <f t="shared" si="15"/>
        <v>0</v>
      </c>
      <c r="V119" s="23">
        <f t="shared" si="16"/>
        <v>0.63783783783783787</v>
      </c>
      <c r="W119" s="24">
        <f t="shared" si="17"/>
        <v>3.3783783783783786E-3</v>
      </c>
      <c r="X119" s="24">
        <f t="shared" si="18"/>
        <v>0.4</v>
      </c>
      <c r="Y119" s="23">
        <f t="shared" si="19"/>
        <v>0.9966216216216216</v>
      </c>
    </row>
    <row r="120" spans="1:25">
      <c r="A120">
        <v>119</v>
      </c>
      <c r="B120" t="s">
        <v>1054</v>
      </c>
      <c r="C120" t="s">
        <v>614</v>
      </c>
      <c r="D120" s="4">
        <v>45520.600983796299</v>
      </c>
      <c r="E120" s="10" t="s">
        <v>843</v>
      </c>
      <c r="F120" s="7">
        <v>5061</v>
      </c>
      <c r="G120" s="7">
        <v>28</v>
      </c>
      <c r="H120" s="7">
        <v>18</v>
      </c>
      <c r="I120" s="7">
        <v>10</v>
      </c>
      <c r="J120" s="7">
        <v>5033</v>
      </c>
      <c r="K120" s="7">
        <v>1653</v>
      </c>
      <c r="L120" s="7">
        <v>1239</v>
      </c>
      <c r="M120" s="7">
        <v>6815</v>
      </c>
      <c r="N120" s="7">
        <v>849</v>
      </c>
      <c r="O120" s="7">
        <v>10</v>
      </c>
      <c r="P120" s="7">
        <v>1678</v>
      </c>
      <c r="Q120" s="22">
        <f t="shared" si="11"/>
        <v>0.24617524339360222</v>
      </c>
      <c r="R120" s="22">
        <f t="shared" si="12"/>
        <v>0.33339956288495926</v>
      </c>
      <c r="S120" s="22" t="e">
        <f t="shared" si="13"/>
        <v>#N/A</v>
      </c>
      <c r="T120" s="22" t="e">
        <f t="shared" si="14"/>
        <v>#N/A</v>
      </c>
      <c r="U120" s="22">
        <f t="shared" si="15"/>
        <v>1.9868865487780649E-3</v>
      </c>
      <c r="V120" s="23">
        <f t="shared" si="16"/>
        <v>0.68523002421307511</v>
      </c>
      <c r="W120" s="24">
        <f t="shared" si="17"/>
        <v>5.5325034578146614E-3</v>
      </c>
      <c r="X120" s="24">
        <f t="shared" si="18"/>
        <v>0.1686866679912577</v>
      </c>
      <c r="Y120" s="23">
        <f t="shared" si="19"/>
        <v>0.99446749654218536</v>
      </c>
    </row>
    <row r="121" spans="1:25">
      <c r="A121">
        <v>120</v>
      </c>
      <c r="B121" t="s">
        <v>1056</v>
      </c>
      <c r="C121" t="s">
        <v>649</v>
      </c>
      <c r="D121" s="4">
        <v>45521.5</v>
      </c>
      <c r="E121" s="10" t="s">
        <v>830</v>
      </c>
      <c r="F121" s="7">
        <v>665</v>
      </c>
      <c r="G121" s="7">
        <v>20</v>
      </c>
      <c r="H121" s="7">
        <v>13</v>
      </c>
      <c r="I121" s="7">
        <v>7</v>
      </c>
      <c r="J121" s="7">
        <v>645</v>
      </c>
      <c r="K121" s="7">
        <v>352</v>
      </c>
      <c r="L121" s="7">
        <v>88</v>
      </c>
      <c r="M121" s="7">
        <v>35</v>
      </c>
      <c r="N121" s="7">
        <v>18</v>
      </c>
      <c r="O121" s="7">
        <v>2</v>
      </c>
      <c r="P121" s="7">
        <v>76</v>
      </c>
      <c r="Q121" s="22">
        <f t="shared" si="11"/>
        <v>0.13643410852713178</v>
      </c>
      <c r="R121" s="22">
        <f t="shared" si="12"/>
        <v>0.11782945736434108</v>
      </c>
      <c r="S121" s="22" t="e">
        <f t="shared" si="13"/>
        <v>#N/A</v>
      </c>
      <c r="T121" s="22" t="e">
        <f t="shared" si="14"/>
        <v>#N/A</v>
      </c>
      <c r="U121" s="22">
        <f t="shared" si="15"/>
        <v>3.1007751937984496E-3</v>
      </c>
      <c r="V121" s="23">
        <f t="shared" si="16"/>
        <v>0.20454545454545456</v>
      </c>
      <c r="W121" s="24">
        <f t="shared" si="17"/>
        <v>3.007518796992481E-2</v>
      </c>
      <c r="X121" s="24">
        <f t="shared" si="18"/>
        <v>2.7906976744186046E-2</v>
      </c>
      <c r="Y121" s="23">
        <f t="shared" si="19"/>
        <v>0.96992481203007519</v>
      </c>
    </row>
    <row r="122" spans="1:25">
      <c r="A122">
        <v>121</v>
      </c>
      <c r="B122" t="s">
        <v>967</v>
      </c>
      <c r="C122" t="s">
        <v>554</v>
      </c>
      <c r="D122" s="4">
        <v>45522.678518518522</v>
      </c>
      <c r="E122" s="10" t="s">
        <v>865</v>
      </c>
      <c r="F122" s="7">
        <v>2465</v>
      </c>
      <c r="G122" s="7">
        <v>14</v>
      </c>
      <c r="H122" s="7">
        <v>13</v>
      </c>
      <c r="I122" s="7">
        <v>1</v>
      </c>
      <c r="J122" s="7">
        <v>2451</v>
      </c>
      <c r="K122" s="7">
        <v>803</v>
      </c>
      <c r="L122" s="7">
        <v>608</v>
      </c>
      <c r="M122" s="7">
        <v>1466</v>
      </c>
      <c r="N122" s="7">
        <v>403</v>
      </c>
      <c r="O122" s="7">
        <v>2</v>
      </c>
      <c r="P122" s="7">
        <v>822</v>
      </c>
      <c r="Q122" s="22">
        <f t="shared" si="11"/>
        <v>0.24806201550387597</v>
      </c>
      <c r="R122" s="22">
        <f t="shared" si="12"/>
        <v>0.3353733170134639</v>
      </c>
      <c r="S122" s="22" t="e">
        <f t="shared" si="13"/>
        <v>#N/A</v>
      </c>
      <c r="T122" s="22" t="e">
        <f t="shared" si="14"/>
        <v>#N/A</v>
      </c>
      <c r="U122" s="22">
        <f t="shared" si="15"/>
        <v>8.1599347205222358E-4</v>
      </c>
      <c r="V122" s="23">
        <f t="shared" si="16"/>
        <v>0.66282894736842102</v>
      </c>
      <c r="W122" s="24">
        <f t="shared" si="17"/>
        <v>5.6795131845841784E-3</v>
      </c>
      <c r="X122" s="24">
        <f t="shared" si="18"/>
        <v>0.16442268461852305</v>
      </c>
      <c r="Y122" s="23">
        <f t="shared" si="19"/>
        <v>0.99432048681541585</v>
      </c>
    </row>
    <row r="123" spans="1:25">
      <c r="A123">
        <v>122</v>
      </c>
      <c r="B123" t="s">
        <v>967</v>
      </c>
      <c r="C123" t="s">
        <v>555</v>
      </c>
      <c r="D123" s="4">
        <v>45522.678530092591</v>
      </c>
      <c r="E123" s="10" t="s">
        <v>865</v>
      </c>
      <c r="F123" s="7">
        <v>2464</v>
      </c>
      <c r="G123" s="7">
        <v>14</v>
      </c>
      <c r="H123" s="7">
        <v>9</v>
      </c>
      <c r="I123" s="7">
        <v>5</v>
      </c>
      <c r="J123" s="7">
        <v>2450</v>
      </c>
      <c r="K123" s="7">
        <v>702</v>
      </c>
      <c r="L123" s="7">
        <v>537</v>
      </c>
      <c r="M123" s="7">
        <v>1321</v>
      </c>
      <c r="N123" s="7">
        <v>357</v>
      </c>
      <c r="O123" s="7">
        <v>1</v>
      </c>
      <c r="P123" s="7">
        <v>821</v>
      </c>
      <c r="Q123" s="22">
        <f t="shared" si="11"/>
        <v>0.21918367346938775</v>
      </c>
      <c r="R123" s="22">
        <f t="shared" si="12"/>
        <v>0.33510204081632655</v>
      </c>
      <c r="S123" s="22" t="e">
        <f t="shared" si="13"/>
        <v>#N/A</v>
      </c>
      <c r="T123" s="22" t="e">
        <f t="shared" si="14"/>
        <v>#N/A</v>
      </c>
      <c r="U123" s="22">
        <f t="shared" si="15"/>
        <v>4.0816326530612246E-4</v>
      </c>
      <c r="V123" s="23">
        <f t="shared" si="16"/>
        <v>0.66480446927374304</v>
      </c>
      <c r="W123" s="24">
        <f t="shared" si="17"/>
        <v>5.681818181818182E-3</v>
      </c>
      <c r="X123" s="24">
        <f t="shared" si="18"/>
        <v>0.14571428571428571</v>
      </c>
      <c r="Y123" s="23">
        <f t="shared" si="19"/>
        <v>0.99431818181818177</v>
      </c>
    </row>
    <row r="124" spans="1:25">
      <c r="A124">
        <v>123</v>
      </c>
      <c r="B124" t="s">
        <v>1056</v>
      </c>
      <c r="C124" t="s">
        <v>648</v>
      </c>
      <c r="D124" s="4">
        <v>45523.520833333336</v>
      </c>
      <c r="E124" s="10" t="s">
        <v>820</v>
      </c>
      <c r="F124" s="7">
        <v>773</v>
      </c>
      <c r="G124" s="7">
        <v>13</v>
      </c>
      <c r="H124" s="7">
        <v>13</v>
      </c>
      <c r="I124" s="7">
        <v>0</v>
      </c>
      <c r="J124" s="7">
        <v>760</v>
      </c>
      <c r="K124" s="7">
        <v>357</v>
      </c>
      <c r="L124" s="7">
        <v>191</v>
      </c>
      <c r="M124" s="7">
        <v>36</v>
      </c>
      <c r="N124" s="7">
        <v>32</v>
      </c>
      <c r="O124" s="7">
        <v>0</v>
      </c>
      <c r="P124" s="7">
        <v>346</v>
      </c>
      <c r="Q124" s="22">
        <f t="shared" si="11"/>
        <v>0.25131578947368421</v>
      </c>
      <c r="R124" s="22">
        <f t="shared" si="12"/>
        <v>0.45526315789473687</v>
      </c>
      <c r="S124" s="22" t="e">
        <f t="shared" si="13"/>
        <v>#N/A</v>
      </c>
      <c r="T124" s="22" t="e">
        <f t="shared" si="14"/>
        <v>#N/A</v>
      </c>
      <c r="U124" s="22">
        <f t="shared" si="15"/>
        <v>0</v>
      </c>
      <c r="V124" s="23">
        <f t="shared" si="16"/>
        <v>0.16753926701570682</v>
      </c>
      <c r="W124" s="24">
        <f t="shared" si="17"/>
        <v>1.6817593790426907E-2</v>
      </c>
      <c r="X124" s="24">
        <f t="shared" si="18"/>
        <v>4.2105263157894736E-2</v>
      </c>
      <c r="Y124" s="23">
        <f t="shared" si="19"/>
        <v>0.98318240620957309</v>
      </c>
    </row>
    <row r="125" spans="1:25">
      <c r="A125">
        <v>124</v>
      </c>
      <c r="B125" t="s">
        <v>966</v>
      </c>
      <c r="C125" t="s">
        <v>542</v>
      </c>
      <c r="D125" s="4">
        <v>45523.645833333336</v>
      </c>
      <c r="E125" s="10" t="s">
        <v>796</v>
      </c>
      <c r="F125" s="7">
        <v>1736</v>
      </c>
      <c r="G125" s="7">
        <v>6</v>
      </c>
      <c r="H125" s="7">
        <v>5</v>
      </c>
      <c r="I125" s="7">
        <v>1</v>
      </c>
      <c r="J125" s="7">
        <v>1730</v>
      </c>
      <c r="K125" s="7">
        <v>958</v>
      </c>
      <c r="L125" s="7">
        <v>650</v>
      </c>
      <c r="M125" s="7">
        <v>59</v>
      </c>
      <c r="N125" s="7">
        <v>45</v>
      </c>
      <c r="O125" s="7">
        <v>0</v>
      </c>
      <c r="P125" s="7">
        <v>1093</v>
      </c>
      <c r="Q125" s="22">
        <f t="shared" si="11"/>
        <v>0.37572254335260113</v>
      </c>
      <c r="R125" s="22">
        <f t="shared" si="12"/>
        <v>0.63179190751445091</v>
      </c>
      <c r="S125" s="22" t="e">
        <f t="shared" si="13"/>
        <v>#N/A</v>
      </c>
      <c r="T125" s="22" t="e">
        <f t="shared" si="14"/>
        <v>#N/A</v>
      </c>
      <c r="U125" s="22">
        <f t="shared" si="15"/>
        <v>0</v>
      </c>
      <c r="V125" s="23">
        <f t="shared" si="16"/>
        <v>6.9230769230769235E-2</v>
      </c>
      <c r="W125" s="24">
        <f t="shared" si="17"/>
        <v>3.4562211981566822E-3</v>
      </c>
      <c r="X125" s="24">
        <f t="shared" si="18"/>
        <v>2.6011560693641619E-2</v>
      </c>
      <c r="Y125" s="23">
        <f t="shared" si="19"/>
        <v>0.99654377880184331</v>
      </c>
    </row>
    <row r="126" spans="1:25">
      <c r="A126">
        <v>125</v>
      </c>
      <c r="B126" t="s">
        <v>966</v>
      </c>
      <c r="C126" t="s">
        <v>541</v>
      </c>
      <c r="D126" s="4">
        <v>45523.666666666664</v>
      </c>
      <c r="E126" s="10" t="s">
        <v>791</v>
      </c>
      <c r="F126" s="7">
        <v>8412</v>
      </c>
      <c r="G126" s="7">
        <v>32</v>
      </c>
      <c r="H126" s="7">
        <v>26</v>
      </c>
      <c r="I126" s="7">
        <v>6</v>
      </c>
      <c r="J126" s="7">
        <v>8380</v>
      </c>
      <c r="K126" s="7">
        <v>4340</v>
      </c>
      <c r="L126" s="7">
        <v>2234</v>
      </c>
      <c r="M126" s="7">
        <v>364</v>
      </c>
      <c r="N126" s="7">
        <v>223</v>
      </c>
      <c r="O126" s="7">
        <v>16</v>
      </c>
      <c r="P126" s="7">
        <v>4269</v>
      </c>
      <c r="Q126" s="22">
        <f t="shared" si="11"/>
        <v>0.26658711217183773</v>
      </c>
      <c r="R126" s="22">
        <f t="shared" si="12"/>
        <v>0.50942720763723148</v>
      </c>
      <c r="S126" s="22" t="e">
        <f t="shared" si="13"/>
        <v>#N/A</v>
      </c>
      <c r="T126" s="22" t="e">
        <f t="shared" si="14"/>
        <v>#N/A</v>
      </c>
      <c r="U126" s="22">
        <f t="shared" si="15"/>
        <v>1.9093078758949881E-3</v>
      </c>
      <c r="V126" s="23">
        <f t="shared" si="16"/>
        <v>9.9820948970456583E-2</v>
      </c>
      <c r="W126" s="24">
        <f t="shared" si="17"/>
        <v>3.8040893961008085E-3</v>
      </c>
      <c r="X126" s="24">
        <f t="shared" si="18"/>
        <v>2.6610978520286398E-2</v>
      </c>
      <c r="Y126" s="23">
        <f t="shared" si="19"/>
        <v>0.99619591060389923</v>
      </c>
    </row>
    <row r="127" spans="1:25">
      <c r="A127">
        <v>126</v>
      </c>
      <c r="B127" t="s">
        <v>967</v>
      </c>
      <c r="C127" t="s">
        <v>554</v>
      </c>
      <c r="D127" s="4">
        <v>45524.679513888892</v>
      </c>
      <c r="E127" s="10" t="s">
        <v>809</v>
      </c>
      <c r="F127" s="7">
        <v>4933</v>
      </c>
      <c r="G127" s="7">
        <v>24</v>
      </c>
      <c r="H127" s="7">
        <v>21</v>
      </c>
      <c r="I127" s="7">
        <v>3</v>
      </c>
      <c r="J127" s="7">
        <v>4909</v>
      </c>
      <c r="K127" s="7">
        <v>2312</v>
      </c>
      <c r="L127" s="7">
        <v>1565</v>
      </c>
      <c r="M127" s="7">
        <v>4532</v>
      </c>
      <c r="N127" s="7">
        <v>1037</v>
      </c>
      <c r="O127" s="7">
        <v>9</v>
      </c>
      <c r="P127" s="7">
        <v>2790</v>
      </c>
      <c r="Q127" s="22">
        <f t="shared" si="11"/>
        <v>0.3188022000407415</v>
      </c>
      <c r="R127" s="22">
        <f t="shared" si="12"/>
        <v>0.56834385821959665</v>
      </c>
      <c r="S127" s="22" t="e">
        <f t="shared" si="13"/>
        <v>#N/A</v>
      </c>
      <c r="T127" s="22" t="e">
        <f t="shared" si="14"/>
        <v>#N/A</v>
      </c>
      <c r="U127" s="22">
        <f t="shared" si="15"/>
        <v>1.8333672845793441E-3</v>
      </c>
      <c r="V127" s="23">
        <f t="shared" si="16"/>
        <v>0.6626198083067093</v>
      </c>
      <c r="W127" s="24">
        <f t="shared" si="17"/>
        <v>4.8651935941617678E-3</v>
      </c>
      <c r="X127" s="24">
        <f t="shared" si="18"/>
        <v>0.21124465267875331</v>
      </c>
      <c r="Y127" s="23">
        <f t="shared" si="19"/>
        <v>0.99513480640583818</v>
      </c>
    </row>
    <row r="128" spans="1:25">
      <c r="A128">
        <v>127</v>
      </c>
      <c r="B128" t="s">
        <v>964</v>
      </c>
      <c r="C128" t="s">
        <v>532</v>
      </c>
      <c r="D128" s="4">
        <v>45526.693229166667</v>
      </c>
      <c r="E128" s="10" t="s">
        <v>866</v>
      </c>
      <c r="F128" s="7">
        <v>554</v>
      </c>
      <c r="G128" s="7">
        <v>7</v>
      </c>
      <c r="H128" s="7">
        <v>3</v>
      </c>
      <c r="I128" s="7">
        <v>4</v>
      </c>
      <c r="J128" s="7">
        <v>547</v>
      </c>
      <c r="K128" s="7">
        <v>260</v>
      </c>
      <c r="L128" s="7">
        <v>92</v>
      </c>
      <c r="M128" s="7">
        <v>18</v>
      </c>
      <c r="N128" s="7">
        <v>5</v>
      </c>
      <c r="O128" s="7">
        <v>1</v>
      </c>
      <c r="P128" s="7">
        <v>211</v>
      </c>
      <c r="Q128" s="22">
        <f t="shared" si="11"/>
        <v>0.16819012797074953</v>
      </c>
      <c r="R128" s="22">
        <f t="shared" si="12"/>
        <v>0.3857404021937843</v>
      </c>
      <c r="S128" s="22" t="e">
        <f t="shared" si="13"/>
        <v>#N/A</v>
      </c>
      <c r="T128" s="22" t="e">
        <f t="shared" si="14"/>
        <v>#N/A</v>
      </c>
      <c r="U128" s="22">
        <f t="shared" si="15"/>
        <v>1.8281535648994515E-3</v>
      </c>
      <c r="V128" s="23">
        <f t="shared" si="16"/>
        <v>5.434782608695652E-2</v>
      </c>
      <c r="W128" s="24">
        <f t="shared" si="17"/>
        <v>1.263537906137184E-2</v>
      </c>
      <c r="X128" s="24">
        <f t="shared" si="18"/>
        <v>9.140767824497258E-3</v>
      </c>
      <c r="Y128" s="23">
        <f t="shared" si="19"/>
        <v>0.9873646209386282</v>
      </c>
    </row>
    <row r="129" spans="1:25">
      <c r="A129">
        <v>128</v>
      </c>
      <c r="B129" t="s">
        <v>964</v>
      </c>
      <c r="C129" t="s">
        <v>715</v>
      </c>
      <c r="D129" s="4">
        <v>45526.693229166667</v>
      </c>
      <c r="E129" s="10" t="s">
        <v>866</v>
      </c>
      <c r="F129" s="7">
        <v>555</v>
      </c>
      <c r="G129" s="7">
        <v>7</v>
      </c>
      <c r="H129" s="7">
        <v>4</v>
      </c>
      <c r="I129" s="7">
        <v>3</v>
      </c>
      <c r="J129" s="7">
        <v>548</v>
      </c>
      <c r="K129" s="7">
        <v>255</v>
      </c>
      <c r="L129" s="7">
        <v>101</v>
      </c>
      <c r="M129" s="7">
        <v>8</v>
      </c>
      <c r="N129" s="7">
        <v>5</v>
      </c>
      <c r="O129" s="7">
        <v>1</v>
      </c>
      <c r="P129" s="7">
        <v>212</v>
      </c>
      <c r="Q129" s="22">
        <f t="shared" si="11"/>
        <v>0.18430656934306569</v>
      </c>
      <c r="R129" s="22">
        <f t="shared" si="12"/>
        <v>0.38686131386861317</v>
      </c>
      <c r="S129" s="22" t="e">
        <f t="shared" si="13"/>
        <v>#N/A</v>
      </c>
      <c r="T129" s="22" t="e">
        <f t="shared" si="14"/>
        <v>#N/A</v>
      </c>
      <c r="U129" s="22">
        <f t="shared" si="15"/>
        <v>1.8248175182481751E-3</v>
      </c>
      <c r="V129" s="23">
        <f t="shared" si="16"/>
        <v>4.9504950495049507E-2</v>
      </c>
      <c r="W129" s="24">
        <f t="shared" si="17"/>
        <v>1.2612612612612612E-2</v>
      </c>
      <c r="X129" s="24">
        <f t="shared" si="18"/>
        <v>9.1240875912408752E-3</v>
      </c>
      <c r="Y129" s="23">
        <f t="shared" si="19"/>
        <v>0.98738738738738741</v>
      </c>
    </row>
    <row r="130" spans="1:25">
      <c r="A130">
        <v>129</v>
      </c>
      <c r="B130" t="s">
        <v>1054</v>
      </c>
      <c r="C130" t="s">
        <v>613</v>
      </c>
      <c r="D130" s="4">
        <v>45527.375</v>
      </c>
      <c r="E130" s="10" t="s">
        <v>867</v>
      </c>
      <c r="F130" s="7">
        <v>29</v>
      </c>
      <c r="G130" s="7">
        <v>0</v>
      </c>
      <c r="H130" s="7">
        <v>0</v>
      </c>
      <c r="I130" s="7">
        <v>0</v>
      </c>
      <c r="J130" s="7">
        <v>29</v>
      </c>
      <c r="K130" s="7">
        <v>29</v>
      </c>
      <c r="L130" s="7">
        <v>13</v>
      </c>
      <c r="M130" s="7">
        <v>8</v>
      </c>
      <c r="N130" s="7">
        <v>6</v>
      </c>
      <c r="O130" s="7">
        <v>0</v>
      </c>
      <c r="P130" s="7">
        <v>1</v>
      </c>
      <c r="Q130" s="22">
        <f t="shared" ref="Q130:Q193" si="20">SUM(L130/J130)</f>
        <v>0.44827586206896552</v>
      </c>
      <c r="R130" s="22">
        <f t="shared" ref="R130:R193" si="21">SUM(P130/J130)</f>
        <v>3.4482758620689655E-2</v>
      </c>
      <c r="S130" s="22" t="e">
        <f t="shared" ref="S130:S193" si="22">IF(R130=MAX($R$2:$R$225),R130,NA())</f>
        <v>#N/A</v>
      </c>
      <c r="T130" s="22" t="e">
        <f t="shared" ref="T130:T193" si="23">IF(R130=_xlfn.MINIFS($R$2:$R$225,$R$2:$R$225,"&lt;&gt;0"),R130,NA())</f>
        <v>#N/A</v>
      </c>
      <c r="U130" s="22">
        <f t="shared" ref="U130:U193" si="24">SUM(O130/J130)</f>
        <v>0</v>
      </c>
      <c r="V130" s="23">
        <f t="shared" ref="V130:V193" si="25">SUM(N130/L130)</f>
        <v>0.46153846153846156</v>
      </c>
      <c r="W130" s="24">
        <f t="shared" ref="W130:W193" si="26">SUM(G130/F130)</f>
        <v>0</v>
      </c>
      <c r="X130" s="24">
        <f t="shared" ref="X130:X193" si="27">SUM(N130/J130)</f>
        <v>0.20689655172413793</v>
      </c>
      <c r="Y130" s="23">
        <f t="shared" ref="Y130:Y193" si="28">SUM(J130/F130)</f>
        <v>1</v>
      </c>
    </row>
    <row r="131" spans="1:25">
      <c r="A131">
        <v>130</v>
      </c>
      <c r="B131" t="s">
        <v>1054</v>
      </c>
      <c r="C131" t="s">
        <v>611</v>
      </c>
      <c r="D131" s="4">
        <v>45527.375</v>
      </c>
      <c r="E131" s="10" t="s">
        <v>867</v>
      </c>
      <c r="F131" s="7">
        <v>29</v>
      </c>
      <c r="G131" s="7">
        <v>0</v>
      </c>
      <c r="H131" s="7">
        <v>0</v>
      </c>
      <c r="I131" s="7">
        <v>0</v>
      </c>
      <c r="J131" s="7">
        <v>29</v>
      </c>
      <c r="K131" s="7">
        <v>30</v>
      </c>
      <c r="L131" s="7">
        <v>12</v>
      </c>
      <c r="M131" s="7">
        <v>8</v>
      </c>
      <c r="N131" s="7">
        <v>5</v>
      </c>
      <c r="O131" s="7">
        <v>0</v>
      </c>
      <c r="P131" s="7">
        <v>1</v>
      </c>
      <c r="Q131" s="22">
        <f t="shared" si="20"/>
        <v>0.41379310344827586</v>
      </c>
      <c r="R131" s="22">
        <f t="shared" si="21"/>
        <v>3.4482758620689655E-2</v>
      </c>
      <c r="S131" s="22" t="e">
        <f t="shared" si="22"/>
        <v>#N/A</v>
      </c>
      <c r="T131" s="22" t="e">
        <f t="shared" si="23"/>
        <v>#N/A</v>
      </c>
      <c r="U131" s="22">
        <f t="shared" si="24"/>
        <v>0</v>
      </c>
      <c r="V131" s="23">
        <f t="shared" si="25"/>
        <v>0.41666666666666669</v>
      </c>
      <c r="W131" s="24">
        <f t="shared" si="26"/>
        <v>0</v>
      </c>
      <c r="X131" s="24">
        <f t="shared" si="27"/>
        <v>0.17241379310344829</v>
      </c>
      <c r="Y131" s="23">
        <f t="shared" si="28"/>
        <v>1</v>
      </c>
    </row>
    <row r="132" spans="1:25">
      <c r="A132">
        <v>131</v>
      </c>
      <c r="B132" t="s">
        <v>1054</v>
      </c>
      <c r="C132" t="s">
        <v>611</v>
      </c>
      <c r="D132" s="4">
        <v>45527.542534722219</v>
      </c>
      <c r="E132" s="10" t="s">
        <v>868</v>
      </c>
      <c r="F132" s="7">
        <v>173</v>
      </c>
      <c r="G132" s="7">
        <v>0</v>
      </c>
      <c r="H132" s="7">
        <v>0</v>
      </c>
      <c r="I132" s="7">
        <v>0</v>
      </c>
      <c r="J132" s="7">
        <v>173</v>
      </c>
      <c r="K132" s="7">
        <v>173</v>
      </c>
      <c r="L132" s="7">
        <v>86</v>
      </c>
      <c r="M132" s="7">
        <v>43</v>
      </c>
      <c r="N132" s="7">
        <v>27</v>
      </c>
      <c r="O132" s="7">
        <v>1</v>
      </c>
      <c r="P132" s="7">
        <v>67</v>
      </c>
      <c r="Q132" s="22">
        <f t="shared" si="20"/>
        <v>0.49710982658959535</v>
      </c>
      <c r="R132" s="22">
        <f t="shared" si="21"/>
        <v>0.38728323699421963</v>
      </c>
      <c r="S132" s="22" t="e">
        <f t="shared" si="22"/>
        <v>#N/A</v>
      </c>
      <c r="T132" s="22" t="e">
        <f t="shared" si="23"/>
        <v>#N/A</v>
      </c>
      <c r="U132" s="22">
        <f t="shared" si="24"/>
        <v>5.7803468208092483E-3</v>
      </c>
      <c r="V132" s="23">
        <f t="shared" si="25"/>
        <v>0.31395348837209303</v>
      </c>
      <c r="W132" s="24">
        <f t="shared" si="26"/>
        <v>0</v>
      </c>
      <c r="X132" s="24">
        <f t="shared" si="27"/>
        <v>0.15606936416184972</v>
      </c>
      <c r="Y132" s="23">
        <f t="shared" si="28"/>
        <v>1</v>
      </c>
    </row>
    <row r="133" spans="1:25">
      <c r="A133">
        <v>132</v>
      </c>
      <c r="B133" t="s">
        <v>697</v>
      </c>
      <c r="C133" t="s">
        <v>694</v>
      </c>
      <c r="D133" s="4">
        <v>45527.679942129631</v>
      </c>
      <c r="E133" s="10" t="s">
        <v>869</v>
      </c>
      <c r="F133" s="7">
        <v>52</v>
      </c>
      <c r="G133" s="7">
        <v>0</v>
      </c>
      <c r="H133" s="7">
        <v>0</v>
      </c>
      <c r="I133" s="7">
        <v>0</v>
      </c>
      <c r="J133" s="7">
        <v>52</v>
      </c>
      <c r="K133" s="7">
        <v>161</v>
      </c>
      <c r="L133" s="7">
        <v>27</v>
      </c>
      <c r="M133" s="7">
        <v>18</v>
      </c>
      <c r="N133" s="7">
        <v>13</v>
      </c>
      <c r="O133" s="7">
        <v>0</v>
      </c>
      <c r="P133" s="7">
        <v>42</v>
      </c>
      <c r="Q133" s="22">
        <f t="shared" si="20"/>
        <v>0.51923076923076927</v>
      </c>
      <c r="R133" s="22">
        <f t="shared" si="21"/>
        <v>0.80769230769230771</v>
      </c>
      <c r="S133" s="22" t="e">
        <f t="shared" si="22"/>
        <v>#N/A</v>
      </c>
      <c r="T133" s="22" t="e">
        <f t="shared" si="23"/>
        <v>#N/A</v>
      </c>
      <c r="U133" s="22">
        <f t="shared" si="24"/>
        <v>0</v>
      </c>
      <c r="V133" s="23">
        <f t="shared" si="25"/>
        <v>0.48148148148148145</v>
      </c>
      <c r="W133" s="24">
        <f t="shared" si="26"/>
        <v>0</v>
      </c>
      <c r="X133" s="24">
        <f t="shared" si="27"/>
        <v>0.25</v>
      </c>
      <c r="Y133" s="23">
        <f t="shared" si="28"/>
        <v>1</v>
      </c>
    </row>
    <row r="134" spans="1:25">
      <c r="A134">
        <v>133</v>
      </c>
      <c r="B134" t="s">
        <v>964</v>
      </c>
      <c r="C134" t="s">
        <v>715</v>
      </c>
      <c r="D134" s="4">
        <v>45527.693576388891</v>
      </c>
      <c r="E134" s="10" t="s">
        <v>866</v>
      </c>
      <c r="F134" s="7">
        <v>1109</v>
      </c>
      <c r="G134" s="7">
        <v>6</v>
      </c>
      <c r="H134" s="7">
        <v>4</v>
      </c>
      <c r="I134" s="7">
        <v>2</v>
      </c>
      <c r="J134" s="7">
        <v>1103</v>
      </c>
      <c r="K134" s="7">
        <v>376</v>
      </c>
      <c r="L134" s="7">
        <v>192</v>
      </c>
      <c r="M134" s="7">
        <v>43</v>
      </c>
      <c r="N134" s="7">
        <v>20</v>
      </c>
      <c r="O134" s="7">
        <v>1</v>
      </c>
      <c r="P134" s="7">
        <v>466</v>
      </c>
      <c r="Q134" s="22">
        <f t="shared" si="20"/>
        <v>0.17407071622846781</v>
      </c>
      <c r="R134" s="22">
        <f t="shared" si="21"/>
        <v>0.42248413417951042</v>
      </c>
      <c r="S134" s="22" t="e">
        <f t="shared" si="22"/>
        <v>#N/A</v>
      </c>
      <c r="T134" s="22" t="e">
        <f t="shared" si="23"/>
        <v>#N/A</v>
      </c>
      <c r="U134" s="22">
        <f t="shared" si="24"/>
        <v>9.0661831368993653E-4</v>
      </c>
      <c r="V134" s="23">
        <f t="shared" si="25"/>
        <v>0.10416666666666667</v>
      </c>
      <c r="W134" s="24">
        <f t="shared" si="26"/>
        <v>5.4102795311091077E-3</v>
      </c>
      <c r="X134" s="24">
        <f t="shared" si="27"/>
        <v>1.8132366273798731E-2</v>
      </c>
      <c r="Y134" s="23">
        <f t="shared" si="28"/>
        <v>0.99458972046889094</v>
      </c>
    </row>
    <row r="135" spans="1:25">
      <c r="A135">
        <v>134</v>
      </c>
      <c r="B135" t="s">
        <v>1054</v>
      </c>
      <c r="C135" t="s">
        <v>609</v>
      </c>
      <c r="D135" s="4">
        <v>45528.354166666664</v>
      </c>
      <c r="E135" s="10" t="s">
        <v>851</v>
      </c>
      <c r="F135" s="7">
        <v>513</v>
      </c>
      <c r="G135" s="7">
        <v>3</v>
      </c>
      <c r="H135" s="7">
        <v>3</v>
      </c>
      <c r="I135" s="7">
        <v>0</v>
      </c>
      <c r="J135" s="7">
        <v>510</v>
      </c>
      <c r="K135" s="7">
        <v>217</v>
      </c>
      <c r="L135" s="7">
        <v>162</v>
      </c>
      <c r="M135" s="7">
        <v>40</v>
      </c>
      <c r="N135" s="7">
        <v>19</v>
      </c>
      <c r="O135" s="7">
        <v>2</v>
      </c>
      <c r="P135" s="7">
        <v>125</v>
      </c>
      <c r="Q135" s="22">
        <f t="shared" si="20"/>
        <v>0.31764705882352939</v>
      </c>
      <c r="R135" s="22">
        <f t="shared" si="21"/>
        <v>0.24509803921568626</v>
      </c>
      <c r="S135" s="22" t="e">
        <f t="shared" si="22"/>
        <v>#N/A</v>
      </c>
      <c r="T135" s="22" t="e">
        <f t="shared" si="23"/>
        <v>#N/A</v>
      </c>
      <c r="U135" s="22">
        <f t="shared" si="24"/>
        <v>3.9215686274509803E-3</v>
      </c>
      <c r="V135" s="23">
        <f t="shared" si="25"/>
        <v>0.11728395061728394</v>
      </c>
      <c r="W135" s="24">
        <f t="shared" si="26"/>
        <v>5.8479532163742687E-3</v>
      </c>
      <c r="X135" s="24">
        <f t="shared" si="27"/>
        <v>3.7254901960784313E-2</v>
      </c>
      <c r="Y135" s="23">
        <f t="shared" si="28"/>
        <v>0.99415204678362568</v>
      </c>
    </row>
    <row r="136" spans="1:25">
      <c r="A136">
        <v>135</v>
      </c>
      <c r="B136" t="s">
        <v>1054</v>
      </c>
      <c r="C136" t="s">
        <v>612</v>
      </c>
      <c r="D136" s="4">
        <v>45528.354166666664</v>
      </c>
      <c r="E136" s="10" t="s">
        <v>851</v>
      </c>
      <c r="F136" s="7">
        <v>514</v>
      </c>
      <c r="G136" s="7">
        <v>0</v>
      </c>
      <c r="H136" s="7">
        <v>0</v>
      </c>
      <c r="I136" s="7">
        <v>0</v>
      </c>
      <c r="J136" s="7">
        <v>514</v>
      </c>
      <c r="K136" s="7">
        <v>218</v>
      </c>
      <c r="L136" s="7">
        <v>161</v>
      </c>
      <c r="M136" s="7">
        <v>27</v>
      </c>
      <c r="N136" s="7">
        <v>17</v>
      </c>
      <c r="O136" s="7">
        <v>1</v>
      </c>
      <c r="P136" s="7">
        <v>124</v>
      </c>
      <c r="Q136" s="22">
        <f t="shared" si="20"/>
        <v>0.3132295719844358</v>
      </c>
      <c r="R136" s="22">
        <f t="shared" si="21"/>
        <v>0.24124513618677043</v>
      </c>
      <c r="S136" s="22" t="e">
        <f t="shared" si="22"/>
        <v>#N/A</v>
      </c>
      <c r="T136" s="22" t="e">
        <f t="shared" si="23"/>
        <v>#N/A</v>
      </c>
      <c r="U136" s="22">
        <f t="shared" si="24"/>
        <v>1.9455252918287938E-3</v>
      </c>
      <c r="V136" s="23">
        <f t="shared" si="25"/>
        <v>0.10559006211180125</v>
      </c>
      <c r="W136" s="24">
        <f t="shared" si="26"/>
        <v>0</v>
      </c>
      <c r="X136" s="24">
        <f t="shared" si="27"/>
        <v>3.3073929961089495E-2</v>
      </c>
      <c r="Y136" s="23">
        <f t="shared" si="28"/>
        <v>1</v>
      </c>
    </row>
    <row r="137" spans="1:25">
      <c r="A137">
        <v>136</v>
      </c>
      <c r="B137" t="s">
        <v>1054</v>
      </c>
      <c r="C137" t="s">
        <v>609</v>
      </c>
      <c r="D137" s="4">
        <v>45528.521168981482</v>
      </c>
      <c r="E137" s="10" t="s">
        <v>820</v>
      </c>
      <c r="F137" s="7">
        <v>5013</v>
      </c>
      <c r="G137" s="7">
        <v>10</v>
      </c>
      <c r="H137" s="7">
        <v>7</v>
      </c>
      <c r="I137" s="7">
        <v>3</v>
      </c>
      <c r="J137" s="7">
        <v>5003</v>
      </c>
      <c r="K137" s="7">
        <v>2082</v>
      </c>
      <c r="L137" s="7">
        <v>1567</v>
      </c>
      <c r="M137" s="7">
        <v>167</v>
      </c>
      <c r="N137" s="7">
        <v>88</v>
      </c>
      <c r="O137" s="7">
        <v>18</v>
      </c>
      <c r="P137" s="7">
        <v>1567</v>
      </c>
      <c r="Q137" s="22">
        <f t="shared" si="20"/>
        <v>0.31321207275634622</v>
      </c>
      <c r="R137" s="22">
        <f t="shared" si="21"/>
        <v>0.31321207275634622</v>
      </c>
      <c r="S137" s="22" t="e">
        <f t="shared" si="22"/>
        <v>#N/A</v>
      </c>
      <c r="T137" s="22" t="e">
        <f t="shared" si="23"/>
        <v>#N/A</v>
      </c>
      <c r="U137" s="22">
        <f t="shared" si="24"/>
        <v>3.5978412952228662E-3</v>
      </c>
      <c r="V137" s="23">
        <f t="shared" si="25"/>
        <v>5.6158264199106571E-2</v>
      </c>
      <c r="W137" s="24">
        <f t="shared" si="26"/>
        <v>1.9948134849391581E-3</v>
      </c>
      <c r="X137" s="24">
        <f t="shared" si="27"/>
        <v>1.7589446332200678E-2</v>
      </c>
      <c r="Y137" s="23">
        <f t="shared" si="28"/>
        <v>0.99800518651506087</v>
      </c>
    </row>
    <row r="138" spans="1:25">
      <c r="A138">
        <v>137</v>
      </c>
      <c r="B138" t="s">
        <v>1057</v>
      </c>
      <c r="C138" t="s">
        <v>642</v>
      </c>
      <c r="D138" s="4">
        <v>45529.375</v>
      </c>
      <c r="E138" s="10" t="s">
        <v>867</v>
      </c>
      <c r="F138" s="7">
        <v>103</v>
      </c>
      <c r="G138" s="7">
        <v>1</v>
      </c>
      <c r="H138" s="7">
        <v>1</v>
      </c>
      <c r="I138" s="7">
        <v>0</v>
      </c>
      <c r="J138" s="7">
        <v>102</v>
      </c>
      <c r="K138" s="7">
        <v>259</v>
      </c>
      <c r="L138" s="7">
        <v>75</v>
      </c>
      <c r="M138" s="7">
        <v>32</v>
      </c>
      <c r="N138" s="7">
        <v>26</v>
      </c>
      <c r="O138" s="7">
        <v>0</v>
      </c>
      <c r="P138" s="7">
        <v>23</v>
      </c>
      <c r="Q138" s="22">
        <f t="shared" si="20"/>
        <v>0.73529411764705888</v>
      </c>
      <c r="R138" s="22">
        <f t="shared" si="21"/>
        <v>0.22549019607843138</v>
      </c>
      <c r="S138" s="22" t="e">
        <f t="shared" si="22"/>
        <v>#N/A</v>
      </c>
      <c r="T138" s="22" t="e">
        <f t="shared" si="23"/>
        <v>#N/A</v>
      </c>
      <c r="U138" s="22">
        <f t="shared" si="24"/>
        <v>0</v>
      </c>
      <c r="V138" s="23">
        <f t="shared" si="25"/>
        <v>0.34666666666666668</v>
      </c>
      <c r="W138" s="24">
        <f t="shared" si="26"/>
        <v>9.7087378640776691E-3</v>
      </c>
      <c r="X138" s="24">
        <f t="shared" si="27"/>
        <v>0.25490196078431371</v>
      </c>
      <c r="Y138" s="23">
        <f t="shared" si="28"/>
        <v>0.99029126213592233</v>
      </c>
    </row>
    <row r="139" spans="1:25">
      <c r="A139">
        <v>138</v>
      </c>
      <c r="B139" t="s">
        <v>1052</v>
      </c>
      <c r="C139" t="s">
        <v>563</v>
      </c>
      <c r="D139" s="4">
        <v>45529.683738425927</v>
      </c>
      <c r="E139" s="10" t="s">
        <v>870</v>
      </c>
      <c r="F139" s="7">
        <v>746</v>
      </c>
      <c r="G139" s="7">
        <v>4</v>
      </c>
      <c r="H139" s="7">
        <v>1</v>
      </c>
      <c r="I139" s="7">
        <v>3</v>
      </c>
      <c r="J139" s="7">
        <v>742</v>
      </c>
      <c r="K139" s="7">
        <v>285</v>
      </c>
      <c r="L139" s="7">
        <v>202</v>
      </c>
      <c r="M139" s="7">
        <v>45</v>
      </c>
      <c r="N139" s="7">
        <v>20</v>
      </c>
      <c r="O139" s="7">
        <v>0</v>
      </c>
      <c r="P139" s="7">
        <v>303</v>
      </c>
      <c r="Q139" s="22">
        <f t="shared" si="20"/>
        <v>0.27223719676549868</v>
      </c>
      <c r="R139" s="22">
        <f t="shared" si="21"/>
        <v>0.40835579514824799</v>
      </c>
      <c r="S139" s="22" t="e">
        <f t="shared" si="22"/>
        <v>#N/A</v>
      </c>
      <c r="T139" s="22" t="e">
        <f t="shared" si="23"/>
        <v>#N/A</v>
      </c>
      <c r="U139" s="22">
        <f t="shared" si="24"/>
        <v>0</v>
      </c>
      <c r="V139" s="23">
        <f t="shared" si="25"/>
        <v>9.9009900990099015E-2</v>
      </c>
      <c r="W139" s="24">
        <f t="shared" si="26"/>
        <v>5.3619302949061663E-3</v>
      </c>
      <c r="X139" s="24">
        <f t="shared" si="27"/>
        <v>2.6954177897574125E-2</v>
      </c>
      <c r="Y139" s="23">
        <f t="shared" si="28"/>
        <v>0.99463806970509383</v>
      </c>
    </row>
    <row r="140" spans="1:25">
      <c r="A140">
        <v>139</v>
      </c>
      <c r="B140" t="s">
        <v>1057</v>
      </c>
      <c r="C140" t="s">
        <v>641</v>
      </c>
      <c r="D140" s="4">
        <v>45530.385416666664</v>
      </c>
      <c r="E140" s="10" t="s">
        <v>871</v>
      </c>
      <c r="F140" s="7">
        <v>154</v>
      </c>
      <c r="G140" s="7">
        <v>0</v>
      </c>
      <c r="H140" s="7">
        <v>0</v>
      </c>
      <c r="I140" s="7">
        <v>0</v>
      </c>
      <c r="J140" s="7">
        <v>154</v>
      </c>
      <c r="K140" s="7">
        <v>209</v>
      </c>
      <c r="L140" s="7">
        <v>91</v>
      </c>
      <c r="M140" s="7">
        <v>69</v>
      </c>
      <c r="N140" s="7">
        <v>51</v>
      </c>
      <c r="O140" s="7">
        <v>0</v>
      </c>
      <c r="P140" s="7">
        <v>15</v>
      </c>
      <c r="Q140" s="22">
        <f t="shared" si="20"/>
        <v>0.59090909090909094</v>
      </c>
      <c r="R140" s="22">
        <f t="shared" si="21"/>
        <v>9.7402597402597407E-2</v>
      </c>
      <c r="S140" s="22" t="e">
        <f t="shared" si="22"/>
        <v>#N/A</v>
      </c>
      <c r="T140" s="22" t="e">
        <f t="shared" si="23"/>
        <v>#N/A</v>
      </c>
      <c r="U140" s="22">
        <f t="shared" si="24"/>
        <v>0</v>
      </c>
      <c r="V140" s="23">
        <f t="shared" si="25"/>
        <v>0.56043956043956045</v>
      </c>
      <c r="W140" s="24">
        <f t="shared" si="26"/>
        <v>0</v>
      </c>
      <c r="X140" s="24">
        <f t="shared" si="27"/>
        <v>0.33116883116883117</v>
      </c>
      <c r="Y140" s="23">
        <f t="shared" si="28"/>
        <v>1</v>
      </c>
    </row>
    <row r="141" spans="1:25">
      <c r="A141">
        <v>140</v>
      </c>
      <c r="B141" t="s">
        <v>1054</v>
      </c>
      <c r="C141" t="s">
        <v>610</v>
      </c>
      <c r="D141" s="4">
        <v>45530.642361111109</v>
      </c>
      <c r="E141" s="10" t="s">
        <v>872</v>
      </c>
      <c r="F141" s="7">
        <v>10067</v>
      </c>
      <c r="G141" s="7">
        <v>24</v>
      </c>
      <c r="H141" s="7">
        <v>14</v>
      </c>
      <c r="I141" s="7">
        <v>10</v>
      </c>
      <c r="J141" s="7">
        <v>10043</v>
      </c>
      <c r="K141" s="7">
        <v>3402</v>
      </c>
      <c r="L141" s="7">
        <v>2580</v>
      </c>
      <c r="M141" s="7">
        <v>2243</v>
      </c>
      <c r="N141" s="7">
        <v>1689</v>
      </c>
      <c r="O141" s="7">
        <v>6</v>
      </c>
      <c r="P141" s="7">
        <v>3456</v>
      </c>
      <c r="Q141" s="22">
        <f t="shared" si="20"/>
        <v>0.25689534999502139</v>
      </c>
      <c r="R141" s="22">
        <f t="shared" si="21"/>
        <v>0.34412028278402867</v>
      </c>
      <c r="S141" s="22" t="e">
        <f t="shared" si="22"/>
        <v>#N/A</v>
      </c>
      <c r="T141" s="22" t="e">
        <f t="shared" si="23"/>
        <v>#N/A</v>
      </c>
      <c r="U141" s="22">
        <f t="shared" si="24"/>
        <v>5.9743104650004973E-4</v>
      </c>
      <c r="V141" s="23">
        <f t="shared" si="25"/>
        <v>0.65465116279069768</v>
      </c>
      <c r="W141" s="24">
        <f t="shared" si="26"/>
        <v>2.3840270189728818E-3</v>
      </c>
      <c r="X141" s="24">
        <f t="shared" si="27"/>
        <v>0.16817683958976401</v>
      </c>
      <c r="Y141" s="23">
        <f t="shared" si="28"/>
        <v>0.99761597298102711</v>
      </c>
    </row>
    <row r="142" spans="1:25">
      <c r="A142">
        <v>141</v>
      </c>
      <c r="B142" t="s">
        <v>1054</v>
      </c>
      <c r="C142" t="s">
        <v>608</v>
      </c>
      <c r="D142" s="4">
        <v>45534.395833333336</v>
      </c>
      <c r="E142" s="10" t="s">
        <v>873</v>
      </c>
      <c r="F142" s="7">
        <v>393</v>
      </c>
      <c r="G142" s="7">
        <v>0</v>
      </c>
      <c r="H142" s="7">
        <v>0</v>
      </c>
      <c r="I142" s="7">
        <v>0</v>
      </c>
      <c r="J142" s="7">
        <v>393</v>
      </c>
      <c r="K142" s="7">
        <v>272</v>
      </c>
      <c r="L142" s="7">
        <v>161</v>
      </c>
      <c r="M142" s="7">
        <v>51</v>
      </c>
      <c r="N142" s="7">
        <v>38</v>
      </c>
      <c r="O142" s="7">
        <v>0</v>
      </c>
      <c r="P142" s="7">
        <v>211</v>
      </c>
      <c r="Q142" s="22">
        <f t="shared" si="20"/>
        <v>0.40966921119592875</v>
      </c>
      <c r="R142" s="22">
        <f t="shared" si="21"/>
        <v>0.53689567430025442</v>
      </c>
      <c r="S142" s="22" t="e">
        <f t="shared" si="22"/>
        <v>#N/A</v>
      </c>
      <c r="T142" s="22" t="e">
        <f t="shared" si="23"/>
        <v>#N/A</v>
      </c>
      <c r="U142" s="22">
        <f t="shared" si="24"/>
        <v>0</v>
      </c>
      <c r="V142" s="23">
        <f t="shared" si="25"/>
        <v>0.2360248447204969</v>
      </c>
      <c r="W142" s="24">
        <f t="shared" si="26"/>
        <v>0</v>
      </c>
      <c r="X142" s="24">
        <f t="shared" si="27"/>
        <v>9.6692111959287536E-2</v>
      </c>
      <c r="Y142" s="23">
        <f t="shared" si="28"/>
        <v>1</v>
      </c>
    </row>
    <row r="143" spans="1:25">
      <c r="A143">
        <v>142</v>
      </c>
      <c r="B143" t="s">
        <v>1058</v>
      </c>
      <c r="C143" t="s">
        <v>596</v>
      </c>
      <c r="D143" s="4">
        <v>45542.628472222219</v>
      </c>
      <c r="E143" s="10" t="s">
        <v>832</v>
      </c>
      <c r="F143" s="7">
        <v>847</v>
      </c>
      <c r="G143" s="7">
        <v>2</v>
      </c>
      <c r="H143" s="7">
        <v>1</v>
      </c>
      <c r="I143" s="7">
        <v>1</v>
      </c>
      <c r="J143" s="7">
        <v>845</v>
      </c>
      <c r="K143" s="7">
        <v>366</v>
      </c>
      <c r="L143" s="7">
        <v>224</v>
      </c>
      <c r="M143" s="7">
        <v>166</v>
      </c>
      <c r="N143" s="7">
        <v>37</v>
      </c>
      <c r="O143" s="7">
        <v>2</v>
      </c>
      <c r="P143" s="7">
        <v>304</v>
      </c>
      <c r="Q143" s="22">
        <f t="shared" si="20"/>
        <v>0.26508875739644971</v>
      </c>
      <c r="R143" s="22">
        <f t="shared" si="21"/>
        <v>0.35976331360946745</v>
      </c>
      <c r="S143" s="22" t="e">
        <f t="shared" si="22"/>
        <v>#N/A</v>
      </c>
      <c r="T143" s="22" t="e">
        <f t="shared" si="23"/>
        <v>#N/A</v>
      </c>
      <c r="U143" s="22">
        <f t="shared" si="24"/>
        <v>2.3668639053254438E-3</v>
      </c>
      <c r="V143" s="23">
        <f t="shared" si="25"/>
        <v>0.16517857142857142</v>
      </c>
      <c r="W143" s="24">
        <f t="shared" si="26"/>
        <v>2.3612750885478157E-3</v>
      </c>
      <c r="X143" s="24">
        <f t="shared" si="27"/>
        <v>4.3786982248520713E-2</v>
      </c>
      <c r="Y143" s="23">
        <f t="shared" si="28"/>
        <v>0.99763872491145222</v>
      </c>
    </row>
    <row r="144" spans="1:25">
      <c r="A144">
        <v>143</v>
      </c>
      <c r="B144" t="s">
        <v>1058</v>
      </c>
      <c r="C144" t="s">
        <v>597</v>
      </c>
      <c r="D144" s="4">
        <v>45542.6875</v>
      </c>
      <c r="E144" s="10" t="s">
        <v>874</v>
      </c>
      <c r="F144" s="7">
        <v>57</v>
      </c>
      <c r="G144" s="7">
        <v>0</v>
      </c>
      <c r="H144" s="7">
        <v>0</v>
      </c>
      <c r="I144" s="7">
        <v>0</v>
      </c>
      <c r="J144" s="7">
        <v>57</v>
      </c>
      <c r="K144" s="7">
        <v>155</v>
      </c>
      <c r="L144" s="7">
        <v>29</v>
      </c>
      <c r="M144" s="7">
        <v>21</v>
      </c>
      <c r="N144" s="7">
        <v>10</v>
      </c>
      <c r="O144" s="7">
        <v>0</v>
      </c>
      <c r="P144" s="7">
        <v>12</v>
      </c>
      <c r="Q144" s="22">
        <f t="shared" si="20"/>
        <v>0.50877192982456143</v>
      </c>
      <c r="R144" s="22">
        <f t="shared" si="21"/>
        <v>0.21052631578947367</v>
      </c>
      <c r="S144" s="22" t="e">
        <f t="shared" si="22"/>
        <v>#N/A</v>
      </c>
      <c r="T144" s="22" t="e">
        <f t="shared" si="23"/>
        <v>#N/A</v>
      </c>
      <c r="U144" s="22">
        <f t="shared" si="24"/>
        <v>0</v>
      </c>
      <c r="V144" s="23">
        <f t="shared" si="25"/>
        <v>0.34482758620689657</v>
      </c>
      <c r="W144" s="24">
        <f t="shared" si="26"/>
        <v>0</v>
      </c>
      <c r="X144" s="24">
        <f t="shared" si="27"/>
        <v>0.17543859649122806</v>
      </c>
      <c r="Y144" s="23">
        <f t="shared" si="28"/>
        <v>1</v>
      </c>
    </row>
    <row r="145" spans="1:25">
      <c r="A145">
        <v>144</v>
      </c>
      <c r="B145" t="s">
        <v>1058</v>
      </c>
      <c r="C145" t="s">
        <v>596</v>
      </c>
      <c r="D145" s="4">
        <v>45542.795659722222</v>
      </c>
      <c r="E145" s="10" t="s">
        <v>875</v>
      </c>
      <c r="F145" s="7">
        <v>6777</v>
      </c>
      <c r="G145" s="7">
        <v>28</v>
      </c>
      <c r="H145" s="7">
        <v>8</v>
      </c>
      <c r="I145" s="7">
        <v>20</v>
      </c>
      <c r="J145" s="7">
        <v>6749</v>
      </c>
      <c r="K145" s="7">
        <v>2658</v>
      </c>
      <c r="L145" s="7">
        <v>1663</v>
      </c>
      <c r="M145" s="7">
        <v>1425</v>
      </c>
      <c r="N145" s="7">
        <v>286</v>
      </c>
      <c r="O145" s="7">
        <v>7</v>
      </c>
      <c r="P145" s="7">
        <v>2634</v>
      </c>
      <c r="Q145" s="22">
        <f t="shared" si="20"/>
        <v>0.24640687509260631</v>
      </c>
      <c r="R145" s="22">
        <f t="shared" si="21"/>
        <v>0.39028004148762779</v>
      </c>
      <c r="S145" s="22" t="e">
        <f t="shared" si="22"/>
        <v>#N/A</v>
      </c>
      <c r="T145" s="22" t="e">
        <f t="shared" si="23"/>
        <v>#N/A</v>
      </c>
      <c r="U145" s="22">
        <f t="shared" si="24"/>
        <v>1.0371906949177656E-3</v>
      </c>
      <c r="V145" s="23">
        <f t="shared" si="25"/>
        <v>0.17197835237522549</v>
      </c>
      <c r="W145" s="24">
        <f t="shared" si="26"/>
        <v>4.1316216615021398E-3</v>
      </c>
      <c r="X145" s="24">
        <f t="shared" si="27"/>
        <v>4.2376648392354423E-2</v>
      </c>
      <c r="Y145" s="23">
        <f t="shared" si="28"/>
        <v>0.99586837833849784</v>
      </c>
    </row>
    <row r="146" spans="1:25">
      <c r="A146">
        <v>145</v>
      </c>
      <c r="B146" t="s">
        <v>1052</v>
      </c>
      <c r="C146" t="s">
        <v>562</v>
      </c>
      <c r="D146" s="4">
        <v>45543.739606481482</v>
      </c>
      <c r="E146" s="10" t="s">
        <v>876</v>
      </c>
      <c r="F146" s="7">
        <v>774</v>
      </c>
      <c r="G146" s="7">
        <v>5</v>
      </c>
      <c r="H146" s="7">
        <v>3</v>
      </c>
      <c r="I146" s="7">
        <v>2</v>
      </c>
      <c r="J146" s="7">
        <v>769</v>
      </c>
      <c r="K146" s="7">
        <v>414</v>
      </c>
      <c r="L146" s="7">
        <v>281</v>
      </c>
      <c r="M146" s="7">
        <v>107</v>
      </c>
      <c r="N146" s="7">
        <v>21</v>
      </c>
      <c r="O146" s="7">
        <v>2</v>
      </c>
      <c r="P146" s="7">
        <v>231</v>
      </c>
      <c r="Q146" s="22">
        <f t="shared" si="20"/>
        <v>0.36540962288686607</v>
      </c>
      <c r="R146" s="22">
        <f t="shared" si="21"/>
        <v>0.30039011703511054</v>
      </c>
      <c r="S146" s="22" t="e">
        <f t="shared" si="22"/>
        <v>#N/A</v>
      </c>
      <c r="T146" s="22" t="e">
        <f t="shared" si="23"/>
        <v>#N/A</v>
      </c>
      <c r="U146" s="22">
        <f t="shared" si="24"/>
        <v>2.6007802340702211E-3</v>
      </c>
      <c r="V146" s="23">
        <f t="shared" si="25"/>
        <v>7.4733096085409248E-2</v>
      </c>
      <c r="W146" s="24">
        <f t="shared" si="26"/>
        <v>6.4599483204134363E-3</v>
      </c>
      <c r="X146" s="24">
        <f t="shared" si="27"/>
        <v>2.7308192457737322E-2</v>
      </c>
      <c r="Y146" s="23">
        <f t="shared" si="28"/>
        <v>0.99354005167958659</v>
      </c>
    </row>
    <row r="147" spans="1:25">
      <c r="A147">
        <v>146</v>
      </c>
      <c r="B147" t="s">
        <v>1054</v>
      </c>
      <c r="C147" t="s">
        <v>607</v>
      </c>
      <c r="D147" s="4">
        <v>45543.754317129627</v>
      </c>
      <c r="E147" s="10" t="s">
        <v>877</v>
      </c>
      <c r="F147" s="7">
        <v>9553</v>
      </c>
      <c r="G147" s="7">
        <v>23</v>
      </c>
      <c r="H147" s="7">
        <v>8</v>
      </c>
      <c r="I147" s="7">
        <v>15</v>
      </c>
      <c r="J147" s="7">
        <v>9530</v>
      </c>
      <c r="K147" s="7">
        <v>3743</v>
      </c>
      <c r="L147" s="7">
        <v>2725</v>
      </c>
      <c r="M147" s="7">
        <v>3544</v>
      </c>
      <c r="N147" s="7">
        <v>1878</v>
      </c>
      <c r="O147" s="7">
        <v>10</v>
      </c>
      <c r="P147" s="7">
        <v>4567</v>
      </c>
      <c r="Q147" s="22">
        <f t="shared" si="20"/>
        <v>0.28593913955928646</v>
      </c>
      <c r="R147" s="22">
        <f t="shared" si="21"/>
        <v>0.47922350472193076</v>
      </c>
      <c r="S147" s="22" t="e">
        <f t="shared" si="22"/>
        <v>#N/A</v>
      </c>
      <c r="T147" s="22" t="e">
        <f t="shared" si="23"/>
        <v>#N/A</v>
      </c>
      <c r="U147" s="22">
        <f t="shared" si="24"/>
        <v>1.0493179433368311E-3</v>
      </c>
      <c r="V147" s="23">
        <f t="shared" si="25"/>
        <v>0.6891743119266055</v>
      </c>
      <c r="W147" s="24">
        <f t="shared" si="26"/>
        <v>2.4076206427300325E-3</v>
      </c>
      <c r="X147" s="24">
        <f t="shared" si="27"/>
        <v>0.19706190975865687</v>
      </c>
      <c r="Y147" s="23">
        <f t="shared" si="28"/>
        <v>0.99759237935726996</v>
      </c>
    </row>
    <row r="148" spans="1:25">
      <c r="A148">
        <v>147</v>
      </c>
      <c r="B148" t="s">
        <v>1054</v>
      </c>
      <c r="C148" t="s">
        <v>606</v>
      </c>
      <c r="D148" s="4">
        <v>45549.604166666664</v>
      </c>
      <c r="E148" s="10" t="s">
        <v>814</v>
      </c>
      <c r="F148" s="7">
        <v>226</v>
      </c>
      <c r="G148" s="7">
        <v>0</v>
      </c>
      <c r="H148" s="7">
        <v>0</v>
      </c>
      <c r="I148" s="7">
        <v>0</v>
      </c>
      <c r="J148" s="7">
        <v>226</v>
      </c>
      <c r="K148" s="7">
        <v>213</v>
      </c>
      <c r="L148" s="7">
        <v>104</v>
      </c>
      <c r="M148" s="7">
        <v>125</v>
      </c>
      <c r="N148" s="7">
        <v>45</v>
      </c>
      <c r="O148" s="7">
        <v>0</v>
      </c>
      <c r="P148" s="7">
        <v>98</v>
      </c>
      <c r="Q148" s="22">
        <f t="shared" si="20"/>
        <v>0.46017699115044247</v>
      </c>
      <c r="R148" s="22">
        <f t="shared" si="21"/>
        <v>0.4336283185840708</v>
      </c>
      <c r="S148" s="22" t="e">
        <f t="shared" si="22"/>
        <v>#N/A</v>
      </c>
      <c r="T148" s="22" t="e">
        <f t="shared" si="23"/>
        <v>#N/A</v>
      </c>
      <c r="U148" s="22">
        <f t="shared" si="24"/>
        <v>0</v>
      </c>
      <c r="V148" s="23">
        <f t="shared" si="25"/>
        <v>0.43269230769230771</v>
      </c>
      <c r="W148" s="24">
        <f t="shared" si="26"/>
        <v>0</v>
      </c>
      <c r="X148" s="24">
        <f t="shared" si="27"/>
        <v>0.19911504424778761</v>
      </c>
      <c r="Y148" s="23">
        <f t="shared" si="28"/>
        <v>1</v>
      </c>
    </row>
    <row r="149" spans="1:25">
      <c r="A149">
        <v>148</v>
      </c>
      <c r="B149" t="s">
        <v>1056</v>
      </c>
      <c r="C149" t="s">
        <v>647</v>
      </c>
      <c r="D149" s="4">
        <v>45549.615972222222</v>
      </c>
      <c r="E149" s="10" t="s">
        <v>878</v>
      </c>
      <c r="F149" s="7">
        <v>140</v>
      </c>
      <c r="G149" s="7">
        <v>0</v>
      </c>
      <c r="H149" s="7">
        <v>0</v>
      </c>
      <c r="I149" s="7">
        <v>0</v>
      </c>
      <c r="J149" s="7">
        <v>140</v>
      </c>
      <c r="K149" s="7">
        <v>254</v>
      </c>
      <c r="L149" s="7">
        <v>72</v>
      </c>
      <c r="M149" s="7">
        <v>114</v>
      </c>
      <c r="N149" s="7">
        <v>45</v>
      </c>
      <c r="O149" s="7">
        <v>0</v>
      </c>
      <c r="P149" s="7">
        <v>18</v>
      </c>
      <c r="Q149" s="22">
        <f t="shared" si="20"/>
        <v>0.51428571428571423</v>
      </c>
      <c r="R149" s="22">
        <f t="shared" si="21"/>
        <v>0.12857142857142856</v>
      </c>
      <c r="S149" s="22" t="e">
        <f t="shared" si="22"/>
        <v>#N/A</v>
      </c>
      <c r="T149" s="22" t="e">
        <f t="shared" si="23"/>
        <v>#N/A</v>
      </c>
      <c r="U149" s="22">
        <f t="shared" si="24"/>
        <v>0</v>
      </c>
      <c r="V149" s="23">
        <f t="shared" si="25"/>
        <v>0.625</v>
      </c>
      <c r="W149" s="24">
        <f t="shared" si="26"/>
        <v>0</v>
      </c>
      <c r="X149" s="24">
        <f t="shared" si="27"/>
        <v>0.32142857142857145</v>
      </c>
      <c r="Y149" s="23">
        <f t="shared" si="28"/>
        <v>1</v>
      </c>
    </row>
    <row r="150" spans="1:25">
      <c r="A150">
        <v>149</v>
      </c>
      <c r="B150" t="s">
        <v>967</v>
      </c>
      <c r="C150" t="s">
        <v>553</v>
      </c>
      <c r="D150" s="4">
        <v>45550.670138888891</v>
      </c>
      <c r="E150" s="10" t="s">
        <v>846</v>
      </c>
      <c r="F150" s="7">
        <v>9885</v>
      </c>
      <c r="G150" s="7">
        <v>29</v>
      </c>
      <c r="H150" s="7">
        <v>13</v>
      </c>
      <c r="I150" s="7">
        <v>16</v>
      </c>
      <c r="J150" s="7">
        <v>9856</v>
      </c>
      <c r="K150" s="7">
        <v>2962</v>
      </c>
      <c r="L150" s="7">
        <v>2224</v>
      </c>
      <c r="M150" s="7">
        <v>9821</v>
      </c>
      <c r="N150" s="7">
        <v>1593</v>
      </c>
      <c r="O150" s="7">
        <v>13</v>
      </c>
      <c r="P150" s="7">
        <v>6734</v>
      </c>
      <c r="Q150" s="22">
        <f t="shared" si="20"/>
        <v>0.22564935064935066</v>
      </c>
      <c r="R150" s="22">
        <f t="shared" si="21"/>
        <v>0.68323863636363635</v>
      </c>
      <c r="S150" s="22" t="e">
        <f t="shared" si="22"/>
        <v>#N/A</v>
      </c>
      <c r="T150" s="22" t="e">
        <f t="shared" si="23"/>
        <v>#N/A</v>
      </c>
      <c r="U150" s="22">
        <f t="shared" si="24"/>
        <v>1.3189935064935065E-3</v>
      </c>
      <c r="V150" s="23">
        <f t="shared" si="25"/>
        <v>0.71627697841726623</v>
      </c>
      <c r="W150" s="24">
        <f t="shared" si="26"/>
        <v>2.9337379868487608E-3</v>
      </c>
      <c r="X150" s="24">
        <f t="shared" si="27"/>
        <v>0.16162743506493507</v>
      </c>
      <c r="Y150" s="23">
        <f t="shared" si="28"/>
        <v>0.99706626201315129</v>
      </c>
    </row>
    <row r="151" spans="1:25">
      <c r="A151">
        <v>150</v>
      </c>
      <c r="B151" t="s">
        <v>965</v>
      </c>
      <c r="C151" t="s">
        <v>521</v>
      </c>
      <c r="D151" s="4">
        <v>45555.677083333336</v>
      </c>
      <c r="E151" s="10" t="s">
        <v>795</v>
      </c>
      <c r="F151" s="7">
        <v>1134</v>
      </c>
      <c r="G151" s="7">
        <v>16</v>
      </c>
      <c r="H151" s="7">
        <v>6</v>
      </c>
      <c r="I151" s="7">
        <v>10</v>
      </c>
      <c r="J151" s="7">
        <v>1118</v>
      </c>
      <c r="K151" s="7">
        <v>520</v>
      </c>
      <c r="L151" s="7">
        <v>346</v>
      </c>
      <c r="M151" s="7">
        <v>2241</v>
      </c>
      <c r="N151" s="7">
        <v>225</v>
      </c>
      <c r="O151" s="7">
        <v>3</v>
      </c>
      <c r="P151" s="7">
        <v>491</v>
      </c>
      <c r="Q151" s="22">
        <f t="shared" si="20"/>
        <v>0.30948121645796062</v>
      </c>
      <c r="R151" s="22">
        <f t="shared" si="21"/>
        <v>0.43917710196779963</v>
      </c>
      <c r="S151" s="22" t="e">
        <f t="shared" si="22"/>
        <v>#N/A</v>
      </c>
      <c r="T151" s="22" t="e">
        <f t="shared" si="23"/>
        <v>#N/A</v>
      </c>
      <c r="U151" s="22">
        <f t="shared" si="24"/>
        <v>2.6833631484794273E-3</v>
      </c>
      <c r="V151" s="23">
        <f t="shared" si="25"/>
        <v>0.6502890173410405</v>
      </c>
      <c r="W151" s="24">
        <f t="shared" si="26"/>
        <v>1.4109347442680775E-2</v>
      </c>
      <c r="X151" s="24">
        <f t="shared" si="27"/>
        <v>0.20125223613595708</v>
      </c>
      <c r="Y151" s="23">
        <f t="shared" si="28"/>
        <v>0.98589065255731922</v>
      </c>
    </row>
    <row r="152" spans="1:25">
      <c r="A152">
        <v>151</v>
      </c>
      <c r="B152" t="s">
        <v>1055</v>
      </c>
      <c r="C152" t="s">
        <v>603</v>
      </c>
      <c r="D152" s="4">
        <v>45556.520833333336</v>
      </c>
      <c r="E152" s="10" t="s">
        <v>820</v>
      </c>
      <c r="F152" s="7">
        <v>15</v>
      </c>
      <c r="G152" s="7">
        <v>0</v>
      </c>
      <c r="H152" s="7">
        <v>0</v>
      </c>
      <c r="I152" s="7">
        <v>0</v>
      </c>
      <c r="J152" s="7">
        <v>15</v>
      </c>
      <c r="K152" s="7">
        <v>3</v>
      </c>
      <c r="L152" s="7">
        <v>3</v>
      </c>
      <c r="M152" s="7">
        <v>1</v>
      </c>
      <c r="N152" s="7">
        <v>1</v>
      </c>
      <c r="O152" s="7">
        <v>0</v>
      </c>
      <c r="P152" s="7">
        <v>2</v>
      </c>
      <c r="Q152" s="22">
        <f t="shared" si="20"/>
        <v>0.2</v>
      </c>
      <c r="R152" s="22">
        <f t="shared" si="21"/>
        <v>0.13333333333333333</v>
      </c>
      <c r="S152" s="22" t="e">
        <f t="shared" si="22"/>
        <v>#N/A</v>
      </c>
      <c r="T152" s="22" t="e">
        <f t="shared" si="23"/>
        <v>#N/A</v>
      </c>
      <c r="U152" s="22">
        <f t="shared" si="24"/>
        <v>0</v>
      </c>
      <c r="V152" s="23">
        <f t="shared" si="25"/>
        <v>0.33333333333333331</v>
      </c>
      <c r="W152" s="24">
        <f t="shared" si="26"/>
        <v>0</v>
      </c>
      <c r="X152" s="24">
        <f t="shared" si="27"/>
        <v>6.6666666666666666E-2</v>
      </c>
      <c r="Y152" s="23">
        <f t="shared" si="28"/>
        <v>1</v>
      </c>
    </row>
    <row r="153" spans="1:25">
      <c r="A153">
        <v>152</v>
      </c>
      <c r="B153" t="s">
        <v>1055</v>
      </c>
      <c r="C153" t="s">
        <v>602</v>
      </c>
      <c r="D153" s="4">
        <v>45556.520833333336</v>
      </c>
      <c r="E153" s="10" t="s">
        <v>820</v>
      </c>
      <c r="F153" s="7">
        <v>16</v>
      </c>
      <c r="G153" s="7">
        <v>0</v>
      </c>
      <c r="H153" s="7">
        <v>0</v>
      </c>
      <c r="I153" s="7">
        <v>0</v>
      </c>
      <c r="J153" s="7">
        <v>16</v>
      </c>
      <c r="K153" s="7">
        <v>6</v>
      </c>
      <c r="L153" s="7">
        <v>4</v>
      </c>
      <c r="M153" s="7">
        <v>1</v>
      </c>
      <c r="N153" s="7">
        <v>1</v>
      </c>
      <c r="O153" s="7">
        <v>0</v>
      </c>
      <c r="P153" s="7">
        <v>2</v>
      </c>
      <c r="Q153" s="22">
        <f t="shared" si="20"/>
        <v>0.25</v>
      </c>
      <c r="R153" s="22">
        <f t="shared" si="21"/>
        <v>0.125</v>
      </c>
      <c r="S153" s="22" t="e">
        <f t="shared" si="22"/>
        <v>#N/A</v>
      </c>
      <c r="T153" s="22" t="e">
        <f t="shared" si="23"/>
        <v>#N/A</v>
      </c>
      <c r="U153" s="22">
        <f t="shared" si="24"/>
        <v>0</v>
      </c>
      <c r="V153" s="23">
        <f t="shared" si="25"/>
        <v>0.25</v>
      </c>
      <c r="W153" s="24">
        <f t="shared" si="26"/>
        <v>0</v>
      </c>
      <c r="X153" s="24">
        <f t="shared" si="27"/>
        <v>6.25E-2</v>
      </c>
      <c r="Y153" s="23">
        <f t="shared" si="28"/>
        <v>1</v>
      </c>
    </row>
    <row r="154" spans="1:25">
      <c r="A154">
        <v>153</v>
      </c>
      <c r="B154" t="s">
        <v>1055</v>
      </c>
      <c r="C154" t="s">
        <v>602</v>
      </c>
      <c r="D154" s="4">
        <v>45556.68855324074</v>
      </c>
      <c r="E154" s="10" t="s">
        <v>815</v>
      </c>
      <c r="F154" s="7">
        <v>93</v>
      </c>
      <c r="G154" s="7">
        <v>1</v>
      </c>
      <c r="H154" s="7">
        <v>1</v>
      </c>
      <c r="I154" s="7">
        <v>0</v>
      </c>
      <c r="J154" s="7">
        <v>92</v>
      </c>
      <c r="K154" s="7">
        <v>61</v>
      </c>
      <c r="L154" s="7">
        <v>25</v>
      </c>
      <c r="M154" s="7">
        <v>2</v>
      </c>
      <c r="N154" s="7">
        <v>2</v>
      </c>
      <c r="O154" s="7">
        <v>0</v>
      </c>
      <c r="P154" s="7">
        <v>15</v>
      </c>
      <c r="Q154" s="22">
        <f t="shared" si="20"/>
        <v>0.27173913043478259</v>
      </c>
      <c r="R154" s="22">
        <f t="shared" si="21"/>
        <v>0.16304347826086957</v>
      </c>
      <c r="S154" s="22" t="e">
        <f t="shared" si="22"/>
        <v>#N/A</v>
      </c>
      <c r="T154" s="22" t="e">
        <f t="shared" si="23"/>
        <v>#N/A</v>
      </c>
      <c r="U154" s="22">
        <f t="shared" si="24"/>
        <v>0</v>
      </c>
      <c r="V154" s="23">
        <f t="shared" si="25"/>
        <v>0.08</v>
      </c>
      <c r="W154" s="24">
        <f t="shared" si="26"/>
        <v>1.0752688172043012E-2</v>
      </c>
      <c r="X154" s="24">
        <f t="shared" si="27"/>
        <v>2.1739130434782608E-2</v>
      </c>
      <c r="Y154" s="23">
        <f t="shared" si="28"/>
        <v>0.989247311827957</v>
      </c>
    </row>
    <row r="155" spans="1:25">
      <c r="A155">
        <v>154</v>
      </c>
      <c r="B155" t="s">
        <v>965</v>
      </c>
      <c r="C155" t="s">
        <v>520</v>
      </c>
      <c r="D155" s="4">
        <v>45561.666666666664</v>
      </c>
      <c r="E155" s="10" t="s">
        <v>791</v>
      </c>
      <c r="F155" s="7">
        <v>138</v>
      </c>
      <c r="G155" s="7">
        <v>0</v>
      </c>
      <c r="H155" s="7">
        <v>0</v>
      </c>
      <c r="I155" s="7">
        <v>0</v>
      </c>
      <c r="J155" s="7">
        <v>138</v>
      </c>
      <c r="K155" s="7">
        <v>25</v>
      </c>
      <c r="L155" s="7">
        <v>19</v>
      </c>
      <c r="M155" s="7">
        <v>58</v>
      </c>
      <c r="N155" s="7">
        <v>10</v>
      </c>
      <c r="O155" s="7">
        <v>0</v>
      </c>
      <c r="P155" s="7">
        <v>82</v>
      </c>
      <c r="Q155" s="22">
        <f t="shared" si="20"/>
        <v>0.13768115942028986</v>
      </c>
      <c r="R155" s="22">
        <f t="shared" si="21"/>
        <v>0.59420289855072461</v>
      </c>
      <c r="S155" s="22" t="e">
        <f t="shared" si="22"/>
        <v>#N/A</v>
      </c>
      <c r="T155" s="22" t="e">
        <f t="shared" si="23"/>
        <v>#N/A</v>
      </c>
      <c r="U155" s="22">
        <f t="shared" si="24"/>
        <v>0</v>
      </c>
      <c r="V155" s="23">
        <f t="shared" si="25"/>
        <v>0.52631578947368418</v>
      </c>
      <c r="W155" s="24">
        <f t="shared" si="26"/>
        <v>0</v>
      </c>
      <c r="X155" s="24">
        <f t="shared" si="27"/>
        <v>7.2463768115942032E-2</v>
      </c>
      <c r="Y155" s="23">
        <f t="shared" si="28"/>
        <v>1</v>
      </c>
    </row>
    <row r="156" spans="1:25">
      <c r="A156">
        <v>155</v>
      </c>
      <c r="B156" t="s">
        <v>965</v>
      </c>
      <c r="C156" t="s">
        <v>520</v>
      </c>
      <c r="D156" s="4">
        <v>45561.670138888891</v>
      </c>
      <c r="E156" s="10" t="s">
        <v>846</v>
      </c>
      <c r="F156" s="7">
        <v>980</v>
      </c>
      <c r="G156" s="7">
        <v>5</v>
      </c>
      <c r="H156" s="7">
        <v>4</v>
      </c>
      <c r="I156" s="7">
        <v>1</v>
      </c>
      <c r="J156" s="7">
        <v>975</v>
      </c>
      <c r="K156" s="7">
        <v>254</v>
      </c>
      <c r="L156" s="7">
        <v>189</v>
      </c>
      <c r="M156" s="7">
        <v>292</v>
      </c>
      <c r="N156" s="7">
        <v>89</v>
      </c>
      <c r="O156" s="7">
        <v>0</v>
      </c>
      <c r="P156" s="7">
        <v>437</v>
      </c>
      <c r="Q156" s="22">
        <f t="shared" si="20"/>
        <v>0.19384615384615383</v>
      </c>
      <c r="R156" s="22">
        <f t="shared" si="21"/>
        <v>0.4482051282051282</v>
      </c>
      <c r="S156" s="22" t="e">
        <f t="shared" si="22"/>
        <v>#N/A</v>
      </c>
      <c r="T156" s="22" t="e">
        <f t="shared" si="23"/>
        <v>#N/A</v>
      </c>
      <c r="U156" s="22">
        <f t="shared" si="24"/>
        <v>0</v>
      </c>
      <c r="V156" s="23">
        <f t="shared" si="25"/>
        <v>0.47089947089947087</v>
      </c>
      <c r="W156" s="24">
        <f t="shared" si="26"/>
        <v>5.1020408163265302E-3</v>
      </c>
      <c r="X156" s="24">
        <f t="shared" si="27"/>
        <v>9.1282051282051288E-2</v>
      </c>
      <c r="Y156" s="23">
        <f t="shared" si="28"/>
        <v>0.99489795918367352</v>
      </c>
    </row>
    <row r="157" spans="1:25">
      <c r="A157">
        <v>156</v>
      </c>
      <c r="B157" t="s">
        <v>1058</v>
      </c>
      <c r="C157" t="s">
        <v>594</v>
      </c>
      <c r="D157" s="4">
        <v>45563.604166666664</v>
      </c>
      <c r="E157" s="10" t="s">
        <v>814</v>
      </c>
      <c r="F157" s="7">
        <v>1267</v>
      </c>
      <c r="G157" s="7">
        <v>4</v>
      </c>
      <c r="H157" s="7">
        <v>1</v>
      </c>
      <c r="I157" s="7">
        <v>3</v>
      </c>
      <c r="J157" s="7">
        <v>1263</v>
      </c>
      <c r="K157" s="7">
        <v>452</v>
      </c>
      <c r="L157" s="7">
        <v>324</v>
      </c>
      <c r="M157" s="7">
        <v>888</v>
      </c>
      <c r="N157" s="7">
        <v>200</v>
      </c>
      <c r="O157" s="7">
        <v>2</v>
      </c>
      <c r="P157" s="7">
        <v>624</v>
      </c>
      <c r="Q157" s="22">
        <f t="shared" si="20"/>
        <v>0.25653206650831356</v>
      </c>
      <c r="R157" s="22">
        <f t="shared" si="21"/>
        <v>0.49406175771971494</v>
      </c>
      <c r="S157" s="22" t="e">
        <f t="shared" si="22"/>
        <v>#N/A</v>
      </c>
      <c r="T157" s="22" t="e">
        <f t="shared" si="23"/>
        <v>#N/A</v>
      </c>
      <c r="U157" s="22">
        <f t="shared" si="24"/>
        <v>1.5835312747426761E-3</v>
      </c>
      <c r="V157" s="23">
        <f t="shared" si="25"/>
        <v>0.61728395061728392</v>
      </c>
      <c r="W157" s="24">
        <f t="shared" si="26"/>
        <v>3.1570639305445935E-3</v>
      </c>
      <c r="X157" s="24">
        <f t="shared" si="27"/>
        <v>0.15835312747426761</v>
      </c>
      <c r="Y157" s="23">
        <f t="shared" si="28"/>
        <v>0.9968429360694554</v>
      </c>
    </row>
    <row r="158" spans="1:25">
      <c r="A158">
        <v>157</v>
      </c>
      <c r="B158" t="s">
        <v>1058</v>
      </c>
      <c r="C158" t="s">
        <v>595</v>
      </c>
      <c r="D158" s="4">
        <v>45563.604166666664</v>
      </c>
      <c r="E158" s="10" t="s">
        <v>814</v>
      </c>
      <c r="F158" s="7">
        <v>1268</v>
      </c>
      <c r="G158" s="7">
        <v>3</v>
      </c>
      <c r="H158" s="7">
        <v>0</v>
      </c>
      <c r="I158" s="7">
        <v>3</v>
      </c>
      <c r="J158" s="7">
        <v>1265</v>
      </c>
      <c r="K158" s="7">
        <v>414</v>
      </c>
      <c r="L158" s="7">
        <v>310</v>
      </c>
      <c r="M158" s="7">
        <v>559</v>
      </c>
      <c r="N158" s="7">
        <v>216</v>
      </c>
      <c r="O158" s="7">
        <v>2</v>
      </c>
      <c r="P158" s="7">
        <v>625</v>
      </c>
      <c r="Q158" s="22">
        <f t="shared" si="20"/>
        <v>0.24505928853754941</v>
      </c>
      <c r="R158" s="22">
        <f t="shared" si="21"/>
        <v>0.49407114624505927</v>
      </c>
      <c r="S158" s="22" t="e">
        <f t="shared" si="22"/>
        <v>#N/A</v>
      </c>
      <c r="T158" s="22" t="e">
        <f t="shared" si="23"/>
        <v>#N/A</v>
      </c>
      <c r="U158" s="22">
        <f t="shared" si="24"/>
        <v>1.5810276679841897E-3</v>
      </c>
      <c r="V158" s="23">
        <f t="shared" si="25"/>
        <v>0.6967741935483871</v>
      </c>
      <c r="W158" s="24">
        <f t="shared" si="26"/>
        <v>2.3659305993690852E-3</v>
      </c>
      <c r="X158" s="24">
        <f t="shared" si="27"/>
        <v>0.1707509881422925</v>
      </c>
      <c r="Y158" s="23">
        <f t="shared" si="28"/>
        <v>0.99763406940063093</v>
      </c>
    </row>
    <row r="159" spans="1:25">
      <c r="A159">
        <v>158</v>
      </c>
      <c r="B159" t="s">
        <v>1058</v>
      </c>
      <c r="C159" t="s">
        <v>594</v>
      </c>
      <c r="D159" s="4">
        <v>45563.687858796293</v>
      </c>
      <c r="E159" s="10" t="s">
        <v>874</v>
      </c>
      <c r="F159" s="7">
        <v>7603</v>
      </c>
      <c r="G159" s="7">
        <v>36</v>
      </c>
      <c r="H159" s="7">
        <v>8</v>
      </c>
      <c r="I159" s="7">
        <v>28</v>
      </c>
      <c r="J159" s="7">
        <v>7567</v>
      </c>
      <c r="K159" s="7">
        <v>2613</v>
      </c>
      <c r="L159" s="7">
        <v>1884</v>
      </c>
      <c r="M159" s="7">
        <v>4194</v>
      </c>
      <c r="N159" s="7">
        <v>1248</v>
      </c>
      <c r="O159" s="7">
        <v>10</v>
      </c>
      <c r="P159" s="7">
        <v>3460</v>
      </c>
      <c r="Q159" s="22">
        <f t="shared" si="20"/>
        <v>0.24897581604334612</v>
      </c>
      <c r="R159" s="22">
        <f t="shared" si="21"/>
        <v>0.45724857935773755</v>
      </c>
      <c r="S159" s="22" t="e">
        <f t="shared" si="22"/>
        <v>#N/A</v>
      </c>
      <c r="T159" s="22" t="e">
        <f t="shared" si="23"/>
        <v>#N/A</v>
      </c>
      <c r="U159" s="22">
        <f t="shared" si="24"/>
        <v>1.3215276860050217E-3</v>
      </c>
      <c r="V159" s="23">
        <f t="shared" si="25"/>
        <v>0.66242038216560506</v>
      </c>
      <c r="W159" s="24">
        <f t="shared" si="26"/>
        <v>4.7349730369590955E-3</v>
      </c>
      <c r="X159" s="24">
        <f t="shared" si="27"/>
        <v>0.16492665521342673</v>
      </c>
      <c r="Y159" s="23">
        <f t="shared" si="28"/>
        <v>0.99526502696304087</v>
      </c>
    </row>
    <row r="160" spans="1:25">
      <c r="A160">
        <v>159</v>
      </c>
      <c r="B160" t="s">
        <v>697</v>
      </c>
      <c r="C160" t="s">
        <v>719</v>
      </c>
      <c r="D160" s="4">
        <v>45564.419236111113</v>
      </c>
      <c r="E160" s="10" t="s">
        <v>879</v>
      </c>
      <c r="F160" s="7">
        <v>130</v>
      </c>
      <c r="G160" s="7">
        <v>0</v>
      </c>
      <c r="H160" s="7">
        <v>0</v>
      </c>
      <c r="I160" s="7">
        <v>0</v>
      </c>
      <c r="J160" s="7">
        <v>130</v>
      </c>
      <c r="K160" s="7">
        <v>1309</v>
      </c>
      <c r="L160" s="7">
        <v>86</v>
      </c>
      <c r="M160" s="7">
        <v>521</v>
      </c>
      <c r="N160" s="7">
        <v>66</v>
      </c>
      <c r="O160" s="7">
        <v>0</v>
      </c>
      <c r="P160" s="7">
        <v>120</v>
      </c>
      <c r="Q160" s="22">
        <f t="shared" si="20"/>
        <v>0.66153846153846152</v>
      </c>
      <c r="R160" s="22">
        <f t="shared" si="21"/>
        <v>0.92307692307692313</v>
      </c>
      <c r="S160" s="22" t="e">
        <f t="shared" si="22"/>
        <v>#N/A</v>
      </c>
      <c r="T160" s="22" t="e">
        <f t="shared" si="23"/>
        <v>#N/A</v>
      </c>
      <c r="U160" s="22">
        <f t="shared" si="24"/>
        <v>0</v>
      </c>
      <c r="V160" s="23">
        <f t="shared" si="25"/>
        <v>0.76744186046511631</v>
      </c>
      <c r="W160" s="24">
        <f t="shared" si="26"/>
        <v>0</v>
      </c>
      <c r="X160" s="24">
        <f t="shared" si="27"/>
        <v>0.50769230769230766</v>
      </c>
      <c r="Y160" s="23">
        <f t="shared" si="28"/>
        <v>1</v>
      </c>
    </row>
    <row r="161" spans="1:25">
      <c r="A161">
        <v>160</v>
      </c>
      <c r="B161" t="s">
        <v>1052</v>
      </c>
      <c r="C161" t="s">
        <v>561</v>
      </c>
      <c r="D161" s="4">
        <v>45565.586805555555</v>
      </c>
      <c r="E161" s="10" t="s">
        <v>880</v>
      </c>
      <c r="F161" s="7">
        <v>795</v>
      </c>
      <c r="G161" s="7">
        <v>4</v>
      </c>
      <c r="H161" s="7">
        <v>2</v>
      </c>
      <c r="I161" s="7">
        <v>2</v>
      </c>
      <c r="J161" s="7">
        <v>791</v>
      </c>
      <c r="K161" s="7">
        <v>466</v>
      </c>
      <c r="L161" s="7">
        <v>278</v>
      </c>
      <c r="M161" s="7">
        <v>161</v>
      </c>
      <c r="N161" s="7">
        <v>27</v>
      </c>
      <c r="O161" s="7">
        <v>0</v>
      </c>
      <c r="P161" s="7">
        <v>252</v>
      </c>
      <c r="Q161" s="22">
        <f t="shared" si="20"/>
        <v>0.35145385587863465</v>
      </c>
      <c r="R161" s="22">
        <f t="shared" si="21"/>
        <v>0.31858407079646017</v>
      </c>
      <c r="S161" s="22" t="e">
        <f t="shared" si="22"/>
        <v>#N/A</v>
      </c>
      <c r="T161" s="22" t="e">
        <f t="shared" si="23"/>
        <v>#N/A</v>
      </c>
      <c r="U161" s="22">
        <f t="shared" si="24"/>
        <v>0</v>
      </c>
      <c r="V161" s="23">
        <f t="shared" si="25"/>
        <v>9.7122302158273388E-2</v>
      </c>
      <c r="W161" s="24">
        <f t="shared" si="26"/>
        <v>5.0314465408805029E-3</v>
      </c>
      <c r="X161" s="24">
        <f t="shared" si="27"/>
        <v>3.4134007585335017E-2</v>
      </c>
      <c r="Y161" s="23">
        <f t="shared" si="28"/>
        <v>0.9949685534591195</v>
      </c>
    </row>
    <row r="162" spans="1:25">
      <c r="A162">
        <v>161</v>
      </c>
      <c r="B162" t="s">
        <v>965</v>
      </c>
      <c r="C162" t="s">
        <v>519</v>
      </c>
      <c r="D162" s="4">
        <v>45568.67291666667</v>
      </c>
      <c r="E162" s="10" t="s">
        <v>881</v>
      </c>
      <c r="F162" s="7">
        <v>1114</v>
      </c>
      <c r="G162" s="7">
        <v>5</v>
      </c>
      <c r="H162" s="7">
        <v>3</v>
      </c>
      <c r="I162" s="7">
        <v>2</v>
      </c>
      <c r="J162" s="7">
        <v>1109</v>
      </c>
      <c r="K162" s="7">
        <v>307</v>
      </c>
      <c r="L162" s="7">
        <v>215</v>
      </c>
      <c r="M162" s="7">
        <v>418</v>
      </c>
      <c r="N162" s="7">
        <v>100</v>
      </c>
      <c r="O162" s="7">
        <v>1</v>
      </c>
      <c r="P162" s="7">
        <v>471</v>
      </c>
      <c r="Q162" s="22">
        <f t="shared" si="20"/>
        <v>0.19386834986474302</v>
      </c>
      <c r="R162" s="22">
        <f t="shared" si="21"/>
        <v>0.42470694319206492</v>
      </c>
      <c r="S162" s="22" t="e">
        <f t="shared" si="22"/>
        <v>#N/A</v>
      </c>
      <c r="T162" s="22" t="e">
        <f t="shared" si="23"/>
        <v>#N/A</v>
      </c>
      <c r="U162" s="22">
        <f t="shared" si="24"/>
        <v>9.0171325518485117E-4</v>
      </c>
      <c r="V162" s="23">
        <f t="shared" si="25"/>
        <v>0.46511627906976744</v>
      </c>
      <c r="W162" s="24">
        <f t="shared" si="26"/>
        <v>4.4883303411131061E-3</v>
      </c>
      <c r="X162" s="24">
        <f t="shared" si="27"/>
        <v>9.0171325518485126E-2</v>
      </c>
      <c r="Y162" s="23">
        <f t="shared" si="28"/>
        <v>0.99551166965888693</v>
      </c>
    </row>
    <row r="163" spans="1:25">
      <c r="A163">
        <v>162</v>
      </c>
      <c r="B163" t="s">
        <v>1058</v>
      </c>
      <c r="C163" t="s">
        <v>593</v>
      </c>
      <c r="D163" s="4">
        <v>45570.625</v>
      </c>
      <c r="E163" s="10" t="s">
        <v>817</v>
      </c>
      <c r="F163" s="7">
        <v>7682</v>
      </c>
      <c r="G163" s="7">
        <v>36</v>
      </c>
      <c r="H163" s="7">
        <v>11</v>
      </c>
      <c r="I163" s="7">
        <v>25</v>
      </c>
      <c r="J163" s="7">
        <v>7646</v>
      </c>
      <c r="K163" s="7">
        <v>1148</v>
      </c>
      <c r="L163" s="7">
        <v>905</v>
      </c>
      <c r="M163" s="7">
        <v>679</v>
      </c>
      <c r="N163" s="7">
        <v>562</v>
      </c>
      <c r="O163" s="7">
        <v>14</v>
      </c>
      <c r="P163" s="7">
        <v>3539</v>
      </c>
      <c r="Q163" s="22">
        <f t="shared" si="20"/>
        <v>0.11836254250588543</v>
      </c>
      <c r="R163" s="22">
        <f t="shared" si="21"/>
        <v>0.46285639550091551</v>
      </c>
      <c r="S163" s="22" t="e">
        <f t="shared" si="22"/>
        <v>#N/A</v>
      </c>
      <c r="T163" s="22" t="e">
        <f t="shared" si="23"/>
        <v>#N/A</v>
      </c>
      <c r="U163" s="22">
        <f t="shared" si="24"/>
        <v>1.8310227569971226E-3</v>
      </c>
      <c r="V163" s="23">
        <f t="shared" si="25"/>
        <v>0.62099447513812156</v>
      </c>
      <c r="W163" s="24">
        <f t="shared" si="26"/>
        <v>4.6862796146836761E-3</v>
      </c>
      <c r="X163" s="24">
        <f t="shared" si="27"/>
        <v>7.3502484959455924E-2</v>
      </c>
      <c r="Y163" s="23">
        <f t="shared" si="28"/>
        <v>0.99531372038531629</v>
      </c>
    </row>
    <row r="164" spans="1:25">
      <c r="A164">
        <v>163</v>
      </c>
      <c r="B164" t="s">
        <v>967</v>
      </c>
      <c r="C164" t="s">
        <v>552</v>
      </c>
      <c r="D164" s="4">
        <v>45571.635416666664</v>
      </c>
      <c r="E164" s="10" t="s">
        <v>882</v>
      </c>
      <c r="F164" s="7">
        <v>9868</v>
      </c>
      <c r="G164" s="7">
        <v>24</v>
      </c>
      <c r="H164" s="7">
        <v>13</v>
      </c>
      <c r="I164" s="7">
        <v>11</v>
      </c>
      <c r="J164" s="7">
        <v>9844</v>
      </c>
      <c r="K164" s="7">
        <v>2744</v>
      </c>
      <c r="L164" s="7">
        <v>2033</v>
      </c>
      <c r="M164" s="7">
        <v>4929</v>
      </c>
      <c r="N164" s="7">
        <v>1359</v>
      </c>
      <c r="O164" s="7">
        <v>11</v>
      </c>
      <c r="P164" s="7">
        <v>6100</v>
      </c>
      <c r="Q164" s="22">
        <f t="shared" si="20"/>
        <v>0.20652173913043478</v>
      </c>
      <c r="R164" s="22">
        <f t="shared" si="21"/>
        <v>0.61966680211296221</v>
      </c>
      <c r="S164" s="22" t="e">
        <f t="shared" si="22"/>
        <v>#N/A</v>
      </c>
      <c r="T164" s="22" t="e">
        <f t="shared" si="23"/>
        <v>#N/A</v>
      </c>
      <c r="U164" s="22">
        <f t="shared" si="24"/>
        <v>1.1174319382364893E-3</v>
      </c>
      <c r="V164" s="23">
        <f t="shared" si="25"/>
        <v>0.66847024102311858</v>
      </c>
      <c r="W164" s="24">
        <f t="shared" si="26"/>
        <v>2.4321037697608433E-3</v>
      </c>
      <c r="X164" s="24">
        <f t="shared" si="27"/>
        <v>0.13805363673303536</v>
      </c>
      <c r="Y164" s="23">
        <f t="shared" si="28"/>
        <v>0.99756789623023912</v>
      </c>
    </row>
    <row r="165" spans="1:25">
      <c r="A165">
        <v>164</v>
      </c>
      <c r="B165" t="s">
        <v>964</v>
      </c>
      <c r="C165" t="s">
        <v>531</v>
      </c>
      <c r="D165" s="4">
        <v>45575.739583333336</v>
      </c>
      <c r="E165" s="10" t="s">
        <v>876</v>
      </c>
      <c r="F165" s="7">
        <v>2231</v>
      </c>
      <c r="G165" s="7">
        <v>17</v>
      </c>
      <c r="H165" s="7">
        <v>3</v>
      </c>
      <c r="I165" s="7">
        <v>14</v>
      </c>
      <c r="J165" s="7">
        <v>2214</v>
      </c>
      <c r="K165" s="7">
        <v>762</v>
      </c>
      <c r="L165" s="7">
        <v>467</v>
      </c>
      <c r="M165" s="7">
        <v>81</v>
      </c>
      <c r="N165" s="7">
        <v>30</v>
      </c>
      <c r="O165" s="7">
        <v>3</v>
      </c>
      <c r="P165" s="7">
        <v>1588</v>
      </c>
      <c r="Q165" s="22">
        <f t="shared" si="20"/>
        <v>0.2109304426377597</v>
      </c>
      <c r="R165" s="22">
        <f t="shared" si="21"/>
        <v>0.7172538392050587</v>
      </c>
      <c r="S165" s="22" t="e">
        <f t="shared" si="22"/>
        <v>#N/A</v>
      </c>
      <c r="T165" s="22" t="e">
        <f t="shared" si="23"/>
        <v>#N/A</v>
      </c>
      <c r="U165" s="22">
        <f t="shared" si="24"/>
        <v>1.3550135501355014E-3</v>
      </c>
      <c r="V165" s="23">
        <f t="shared" si="25"/>
        <v>6.4239828693790149E-2</v>
      </c>
      <c r="W165" s="24">
        <f t="shared" si="26"/>
        <v>7.6199013895114302E-3</v>
      </c>
      <c r="X165" s="24">
        <f t="shared" si="27"/>
        <v>1.3550135501355014E-2</v>
      </c>
      <c r="Y165" s="23">
        <f t="shared" si="28"/>
        <v>0.99238009861048859</v>
      </c>
    </row>
    <row r="166" spans="1:25">
      <c r="A166">
        <v>165</v>
      </c>
      <c r="B166" t="s">
        <v>1059</v>
      </c>
      <c r="C166" t="s">
        <v>662</v>
      </c>
      <c r="D166" s="4">
        <v>45575.75</v>
      </c>
      <c r="E166" s="10" t="s">
        <v>812</v>
      </c>
      <c r="F166" s="7">
        <v>27</v>
      </c>
      <c r="G166" s="7">
        <v>1</v>
      </c>
      <c r="H166" s="7">
        <v>0</v>
      </c>
      <c r="I166" s="7">
        <v>1</v>
      </c>
      <c r="J166" s="7">
        <v>26</v>
      </c>
      <c r="K166" s="7">
        <v>11</v>
      </c>
      <c r="L166" s="7">
        <v>10</v>
      </c>
      <c r="M166" s="7">
        <v>1</v>
      </c>
      <c r="N166" s="7">
        <v>1</v>
      </c>
      <c r="O166" s="7">
        <v>0</v>
      </c>
      <c r="P166" s="7">
        <v>1</v>
      </c>
      <c r="Q166" s="22">
        <f t="shared" si="20"/>
        <v>0.38461538461538464</v>
      </c>
      <c r="R166" s="22">
        <f t="shared" si="21"/>
        <v>3.8461538461538464E-2</v>
      </c>
      <c r="S166" s="22" t="e">
        <f t="shared" si="22"/>
        <v>#N/A</v>
      </c>
      <c r="T166" s="22" t="e">
        <f t="shared" si="23"/>
        <v>#N/A</v>
      </c>
      <c r="U166" s="22">
        <f t="shared" si="24"/>
        <v>0</v>
      </c>
      <c r="V166" s="23">
        <f t="shared" si="25"/>
        <v>0.1</v>
      </c>
      <c r="W166" s="24">
        <f t="shared" si="26"/>
        <v>3.7037037037037035E-2</v>
      </c>
      <c r="X166" s="24">
        <f t="shared" si="27"/>
        <v>3.8461538461538464E-2</v>
      </c>
      <c r="Y166" s="23">
        <f t="shared" si="28"/>
        <v>0.96296296296296291</v>
      </c>
    </row>
    <row r="167" spans="1:25">
      <c r="A167">
        <v>166</v>
      </c>
      <c r="B167" t="s">
        <v>697</v>
      </c>
      <c r="C167" t="s">
        <v>720</v>
      </c>
      <c r="D167" s="4">
        <v>45579.39947916667</v>
      </c>
      <c r="E167" s="10" t="s">
        <v>883</v>
      </c>
      <c r="F167" s="7">
        <v>132</v>
      </c>
      <c r="G167" s="7">
        <v>0</v>
      </c>
      <c r="H167" s="7">
        <v>0</v>
      </c>
      <c r="I167" s="7">
        <v>0</v>
      </c>
      <c r="J167" s="7">
        <v>132</v>
      </c>
      <c r="K167" s="7">
        <v>718</v>
      </c>
      <c r="L167" s="7">
        <v>82</v>
      </c>
      <c r="M167" s="7">
        <v>194</v>
      </c>
      <c r="N167" s="7">
        <v>60</v>
      </c>
      <c r="O167" s="7">
        <v>0</v>
      </c>
      <c r="P167" s="7">
        <v>122</v>
      </c>
      <c r="Q167" s="22">
        <f t="shared" si="20"/>
        <v>0.62121212121212122</v>
      </c>
      <c r="R167" s="22">
        <f t="shared" si="21"/>
        <v>0.9242424242424242</v>
      </c>
      <c r="S167" s="22" t="e">
        <f t="shared" si="22"/>
        <v>#N/A</v>
      </c>
      <c r="T167" s="22" t="e">
        <f t="shared" si="23"/>
        <v>#N/A</v>
      </c>
      <c r="U167" s="22">
        <f t="shared" si="24"/>
        <v>0</v>
      </c>
      <c r="V167" s="23">
        <f t="shared" si="25"/>
        <v>0.73170731707317072</v>
      </c>
      <c r="W167" s="24">
        <f t="shared" si="26"/>
        <v>0</v>
      </c>
      <c r="X167" s="24">
        <f t="shared" si="27"/>
        <v>0.45454545454545453</v>
      </c>
      <c r="Y167" s="23">
        <f t="shared" si="28"/>
        <v>1</v>
      </c>
    </row>
    <row r="168" spans="1:25">
      <c r="A168">
        <v>167</v>
      </c>
      <c r="B168" t="s">
        <v>1059</v>
      </c>
      <c r="C168" t="s">
        <v>661</v>
      </c>
      <c r="D168" s="4">
        <v>45582.677777777775</v>
      </c>
      <c r="E168" s="10" t="s">
        <v>884</v>
      </c>
      <c r="F168" s="7">
        <v>87</v>
      </c>
      <c r="G168" s="7">
        <v>4</v>
      </c>
      <c r="H168" s="7">
        <v>1</v>
      </c>
      <c r="I168" s="7">
        <v>3</v>
      </c>
      <c r="J168" s="7">
        <v>83</v>
      </c>
      <c r="K168" s="7">
        <v>61</v>
      </c>
      <c r="L168" s="7">
        <v>33</v>
      </c>
      <c r="M168" s="7">
        <v>18</v>
      </c>
      <c r="N168" s="7">
        <v>8</v>
      </c>
      <c r="O168" s="7">
        <v>0</v>
      </c>
      <c r="P168" s="7">
        <v>12</v>
      </c>
      <c r="Q168" s="22">
        <f t="shared" si="20"/>
        <v>0.39759036144578314</v>
      </c>
      <c r="R168" s="22">
        <f t="shared" si="21"/>
        <v>0.14457831325301204</v>
      </c>
      <c r="S168" s="22" t="e">
        <f t="shared" si="22"/>
        <v>#N/A</v>
      </c>
      <c r="T168" s="22" t="e">
        <f t="shared" si="23"/>
        <v>#N/A</v>
      </c>
      <c r="U168" s="22">
        <f t="shared" si="24"/>
        <v>0</v>
      </c>
      <c r="V168" s="23">
        <f t="shared" si="25"/>
        <v>0.24242424242424243</v>
      </c>
      <c r="W168" s="24">
        <f t="shared" si="26"/>
        <v>4.5977011494252873E-2</v>
      </c>
      <c r="X168" s="24">
        <f t="shared" si="27"/>
        <v>9.6385542168674704E-2</v>
      </c>
      <c r="Y168" s="23">
        <f t="shared" si="28"/>
        <v>0.95402298850574707</v>
      </c>
    </row>
    <row r="169" spans="1:25">
      <c r="A169">
        <v>168</v>
      </c>
      <c r="B169" t="s">
        <v>1060</v>
      </c>
      <c r="C169" t="s">
        <v>663</v>
      </c>
      <c r="D169" s="4">
        <v>45583.677083333336</v>
      </c>
      <c r="E169" s="10" t="s">
        <v>795</v>
      </c>
      <c r="F169" s="7">
        <v>49</v>
      </c>
      <c r="G169" s="7">
        <v>1</v>
      </c>
      <c r="H169" s="7">
        <v>0</v>
      </c>
      <c r="I169" s="7">
        <v>1</v>
      </c>
      <c r="J169" s="7">
        <v>48</v>
      </c>
      <c r="K169" s="7">
        <v>104</v>
      </c>
      <c r="L169" s="7">
        <v>17</v>
      </c>
      <c r="M169" s="7">
        <v>8</v>
      </c>
      <c r="N169" s="7">
        <v>7</v>
      </c>
      <c r="O169" s="7">
        <v>0</v>
      </c>
      <c r="P169" s="7">
        <v>15</v>
      </c>
      <c r="Q169" s="22">
        <f t="shared" si="20"/>
        <v>0.35416666666666669</v>
      </c>
      <c r="R169" s="22">
        <f t="shared" si="21"/>
        <v>0.3125</v>
      </c>
      <c r="S169" s="22" t="e">
        <f t="shared" si="22"/>
        <v>#N/A</v>
      </c>
      <c r="T169" s="22" t="e">
        <f t="shared" si="23"/>
        <v>#N/A</v>
      </c>
      <c r="U169" s="22">
        <f t="shared" si="24"/>
        <v>0</v>
      </c>
      <c r="V169" s="23">
        <f t="shared" si="25"/>
        <v>0.41176470588235292</v>
      </c>
      <c r="W169" s="24">
        <f t="shared" si="26"/>
        <v>2.0408163265306121E-2</v>
      </c>
      <c r="X169" s="24">
        <f t="shared" si="27"/>
        <v>0.14583333333333334</v>
      </c>
      <c r="Y169" s="23">
        <f t="shared" si="28"/>
        <v>0.97959183673469385</v>
      </c>
    </row>
    <row r="170" spans="1:25">
      <c r="A170">
        <v>169</v>
      </c>
      <c r="B170" t="s">
        <v>1060</v>
      </c>
      <c r="C170" t="s">
        <v>716</v>
      </c>
      <c r="D170" s="4">
        <v>45583.708333333336</v>
      </c>
      <c r="E170" s="10" t="s">
        <v>797</v>
      </c>
      <c r="F170" s="7">
        <v>5</v>
      </c>
      <c r="G170" s="7">
        <v>2</v>
      </c>
      <c r="H170" s="7">
        <v>0</v>
      </c>
      <c r="I170" s="7">
        <v>2</v>
      </c>
      <c r="J170" s="7">
        <v>3</v>
      </c>
      <c r="K170" s="7">
        <v>2</v>
      </c>
      <c r="L170" s="7">
        <v>2</v>
      </c>
      <c r="M170" s="7">
        <v>0</v>
      </c>
      <c r="N170" s="7">
        <v>0</v>
      </c>
      <c r="O170" s="7">
        <v>0</v>
      </c>
      <c r="P170" s="7">
        <v>0</v>
      </c>
      <c r="Q170" s="22">
        <f t="shared" si="20"/>
        <v>0.66666666666666663</v>
      </c>
      <c r="R170" s="22">
        <f t="shared" si="21"/>
        <v>0</v>
      </c>
      <c r="S170" s="22" t="e">
        <f t="shared" si="22"/>
        <v>#N/A</v>
      </c>
      <c r="T170" s="22" t="e">
        <f t="shared" si="23"/>
        <v>#N/A</v>
      </c>
      <c r="U170" s="22">
        <f t="shared" si="24"/>
        <v>0</v>
      </c>
      <c r="V170" s="23">
        <f t="shared" si="25"/>
        <v>0</v>
      </c>
      <c r="W170" s="24">
        <f t="shared" si="26"/>
        <v>0.4</v>
      </c>
      <c r="X170" s="24">
        <f t="shared" si="27"/>
        <v>0</v>
      </c>
      <c r="Y170" s="23">
        <f t="shared" si="28"/>
        <v>0.6</v>
      </c>
    </row>
    <row r="171" spans="1:25">
      <c r="A171">
        <v>170</v>
      </c>
      <c r="B171" t="s">
        <v>1054</v>
      </c>
      <c r="C171" t="s">
        <v>567</v>
      </c>
      <c r="D171" s="4">
        <v>45584.708333333336</v>
      </c>
      <c r="E171" s="10" t="s">
        <v>797</v>
      </c>
      <c r="F171" s="7">
        <v>3866</v>
      </c>
      <c r="G171" s="7">
        <v>13</v>
      </c>
      <c r="H171" s="7">
        <v>3</v>
      </c>
      <c r="I171" s="7">
        <v>10</v>
      </c>
      <c r="J171" s="7">
        <v>3853</v>
      </c>
      <c r="K171" s="7">
        <v>1803</v>
      </c>
      <c r="L171" s="7">
        <v>1092</v>
      </c>
      <c r="M171" s="7">
        <v>276</v>
      </c>
      <c r="N171" s="7">
        <v>184</v>
      </c>
      <c r="O171" s="7">
        <v>5</v>
      </c>
      <c r="P171" s="7">
        <v>2223</v>
      </c>
      <c r="Q171" s="22">
        <f t="shared" si="20"/>
        <v>0.28341552037373474</v>
      </c>
      <c r="R171" s="22">
        <f t="shared" si="21"/>
        <v>0.57695302361796008</v>
      </c>
      <c r="S171" s="22" t="e">
        <f t="shared" si="22"/>
        <v>#N/A</v>
      </c>
      <c r="T171" s="22" t="e">
        <f t="shared" si="23"/>
        <v>#N/A</v>
      </c>
      <c r="U171" s="22">
        <f t="shared" si="24"/>
        <v>1.2976901116013497E-3</v>
      </c>
      <c r="V171" s="23">
        <f t="shared" si="25"/>
        <v>0.16849816849816851</v>
      </c>
      <c r="W171" s="24">
        <f t="shared" si="26"/>
        <v>3.362648732540093E-3</v>
      </c>
      <c r="X171" s="24">
        <f t="shared" si="27"/>
        <v>4.7754996106929667E-2</v>
      </c>
      <c r="Y171" s="23">
        <f t="shared" si="28"/>
        <v>0.99663735126745989</v>
      </c>
    </row>
    <row r="172" spans="1:25">
      <c r="A172">
        <v>171</v>
      </c>
      <c r="B172" t="s">
        <v>965</v>
      </c>
      <c r="C172" t="s">
        <v>518</v>
      </c>
      <c r="D172" s="4">
        <v>45589.673611111109</v>
      </c>
      <c r="E172" s="10" t="s">
        <v>818</v>
      </c>
      <c r="F172" s="7">
        <v>1092</v>
      </c>
      <c r="G172" s="7">
        <v>10</v>
      </c>
      <c r="H172" s="7">
        <v>3</v>
      </c>
      <c r="I172" s="7">
        <v>7</v>
      </c>
      <c r="J172" s="7">
        <v>1082</v>
      </c>
      <c r="K172" s="7">
        <v>337</v>
      </c>
      <c r="L172" s="7">
        <v>230</v>
      </c>
      <c r="M172" s="7">
        <v>39</v>
      </c>
      <c r="N172" s="7">
        <v>33</v>
      </c>
      <c r="O172" s="7">
        <v>2</v>
      </c>
      <c r="P172" s="7">
        <v>449</v>
      </c>
      <c r="Q172" s="22">
        <f t="shared" si="20"/>
        <v>0.21256931608133087</v>
      </c>
      <c r="R172" s="22">
        <f t="shared" si="21"/>
        <v>0.41497227356746763</v>
      </c>
      <c r="S172" s="22" t="e">
        <f t="shared" si="22"/>
        <v>#N/A</v>
      </c>
      <c r="T172" s="22" t="e">
        <f t="shared" si="23"/>
        <v>#N/A</v>
      </c>
      <c r="U172" s="22">
        <f t="shared" si="24"/>
        <v>1.8484288354898336E-3</v>
      </c>
      <c r="V172" s="23">
        <f t="shared" si="25"/>
        <v>0.14347826086956522</v>
      </c>
      <c r="W172" s="24">
        <f t="shared" si="26"/>
        <v>9.1575091575091579E-3</v>
      </c>
      <c r="X172" s="24">
        <f t="shared" si="27"/>
        <v>3.0499075785582256E-2</v>
      </c>
      <c r="Y172" s="23">
        <f t="shared" si="28"/>
        <v>0.99084249084249088</v>
      </c>
    </row>
    <row r="173" spans="1:25">
      <c r="A173">
        <v>172</v>
      </c>
      <c r="B173" t="s">
        <v>1059</v>
      </c>
      <c r="C173" t="s">
        <v>661</v>
      </c>
      <c r="D173" s="4">
        <v>45589.708333333336</v>
      </c>
      <c r="E173" s="10" t="s">
        <v>797</v>
      </c>
      <c r="F173" s="7">
        <v>101</v>
      </c>
      <c r="G173" s="7">
        <v>5</v>
      </c>
      <c r="H173" s="7">
        <v>1</v>
      </c>
      <c r="I173" s="7">
        <v>4</v>
      </c>
      <c r="J173" s="7">
        <v>96</v>
      </c>
      <c r="K173" s="7">
        <v>62</v>
      </c>
      <c r="L173" s="7">
        <v>28</v>
      </c>
      <c r="M173" s="7">
        <v>14</v>
      </c>
      <c r="N173" s="7">
        <v>9</v>
      </c>
      <c r="O173" s="7">
        <v>0</v>
      </c>
      <c r="P173" s="7">
        <v>59</v>
      </c>
      <c r="Q173" s="22">
        <f t="shared" si="20"/>
        <v>0.29166666666666669</v>
      </c>
      <c r="R173" s="22">
        <f t="shared" si="21"/>
        <v>0.61458333333333337</v>
      </c>
      <c r="S173" s="22" t="e">
        <f t="shared" si="22"/>
        <v>#N/A</v>
      </c>
      <c r="T173" s="22" t="e">
        <f t="shared" si="23"/>
        <v>#N/A</v>
      </c>
      <c r="U173" s="22">
        <f t="shared" si="24"/>
        <v>0</v>
      </c>
      <c r="V173" s="23">
        <f t="shared" si="25"/>
        <v>0.32142857142857145</v>
      </c>
      <c r="W173" s="24">
        <f t="shared" si="26"/>
        <v>4.9504950495049507E-2</v>
      </c>
      <c r="X173" s="24">
        <f t="shared" si="27"/>
        <v>9.375E-2</v>
      </c>
      <c r="Y173" s="23">
        <f t="shared" si="28"/>
        <v>0.95049504950495045</v>
      </c>
    </row>
    <row r="174" spans="1:25">
      <c r="A174">
        <v>173</v>
      </c>
      <c r="B174" t="s">
        <v>1055</v>
      </c>
      <c r="C174" t="s">
        <v>601</v>
      </c>
      <c r="D174" s="4">
        <v>45589.711805555555</v>
      </c>
      <c r="E174" s="10" t="s">
        <v>806</v>
      </c>
      <c r="F174" s="7">
        <v>9612</v>
      </c>
      <c r="G174" s="7">
        <v>29</v>
      </c>
      <c r="H174" s="7">
        <v>12</v>
      </c>
      <c r="I174" s="7">
        <v>17</v>
      </c>
      <c r="J174" s="7">
        <v>9583</v>
      </c>
      <c r="K174" s="7">
        <v>4180</v>
      </c>
      <c r="L174" s="7">
        <v>2964</v>
      </c>
      <c r="M174" s="7">
        <v>438</v>
      </c>
      <c r="N174" s="7">
        <v>278</v>
      </c>
      <c r="O174" s="7">
        <v>30</v>
      </c>
      <c r="P174" s="7">
        <v>5469</v>
      </c>
      <c r="Q174" s="22">
        <f t="shared" si="20"/>
        <v>0.30929771470312012</v>
      </c>
      <c r="R174" s="22">
        <f t="shared" si="21"/>
        <v>0.57069811123865177</v>
      </c>
      <c r="S174" s="22" t="e">
        <f t="shared" si="22"/>
        <v>#N/A</v>
      </c>
      <c r="T174" s="22" t="e">
        <f t="shared" si="23"/>
        <v>#N/A</v>
      </c>
      <c r="U174" s="22">
        <f t="shared" si="24"/>
        <v>3.1305436710842116E-3</v>
      </c>
      <c r="V174" s="23">
        <f t="shared" si="25"/>
        <v>9.3792172739541158E-2</v>
      </c>
      <c r="W174" s="24">
        <f t="shared" si="26"/>
        <v>3.0170620058260506E-3</v>
      </c>
      <c r="X174" s="24">
        <f t="shared" si="27"/>
        <v>2.9009704685380361E-2</v>
      </c>
      <c r="Y174" s="23">
        <f t="shared" si="28"/>
        <v>0.99698293799417392</v>
      </c>
    </row>
    <row r="175" spans="1:25">
      <c r="A175">
        <v>174</v>
      </c>
      <c r="B175" t="s">
        <v>967</v>
      </c>
      <c r="C175" t="s">
        <v>551</v>
      </c>
      <c r="D175" s="4">
        <v>45592.675208333334</v>
      </c>
      <c r="E175" s="10" t="s">
        <v>885</v>
      </c>
      <c r="F175" s="7">
        <v>9977</v>
      </c>
      <c r="G175" s="7">
        <v>21</v>
      </c>
      <c r="H175" s="7">
        <v>12</v>
      </c>
      <c r="I175" s="7">
        <v>9</v>
      </c>
      <c r="J175" s="7">
        <v>9956</v>
      </c>
      <c r="K175" s="7">
        <v>2889</v>
      </c>
      <c r="L175" s="7">
        <v>2135</v>
      </c>
      <c r="M175" s="7">
        <v>4887</v>
      </c>
      <c r="N175" s="7">
        <v>1372</v>
      </c>
      <c r="O175" s="7">
        <v>5</v>
      </c>
      <c r="P175" s="7">
        <v>6754</v>
      </c>
      <c r="Q175" s="22">
        <f t="shared" si="20"/>
        <v>0.2144435516271595</v>
      </c>
      <c r="R175" s="22">
        <f t="shared" si="21"/>
        <v>0.67838489353153875</v>
      </c>
      <c r="S175" s="22" t="e">
        <f t="shared" si="22"/>
        <v>#N/A</v>
      </c>
      <c r="T175" s="22" t="e">
        <f t="shared" si="23"/>
        <v>#N/A</v>
      </c>
      <c r="U175" s="22">
        <f t="shared" si="24"/>
        <v>5.0220972278023301E-4</v>
      </c>
      <c r="V175" s="23">
        <f t="shared" si="25"/>
        <v>0.64262295081967213</v>
      </c>
      <c r="W175" s="24">
        <f t="shared" si="26"/>
        <v>2.1048411346096022E-3</v>
      </c>
      <c r="X175" s="24">
        <f t="shared" si="27"/>
        <v>0.13780634793089594</v>
      </c>
      <c r="Y175" s="23">
        <f t="shared" si="28"/>
        <v>0.99789515886539037</v>
      </c>
    </row>
    <row r="176" spans="1:25">
      <c r="A176">
        <v>175</v>
      </c>
      <c r="B176" t="s">
        <v>1055</v>
      </c>
      <c r="C176" t="s">
        <v>600</v>
      </c>
      <c r="D176" s="4">
        <v>45592.729166666664</v>
      </c>
      <c r="E176" s="10" t="s">
        <v>799</v>
      </c>
      <c r="F176" s="7">
        <v>974</v>
      </c>
      <c r="G176" s="7">
        <v>3</v>
      </c>
      <c r="H176" s="7">
        <v>2</v>
      </c>
      <c r="I176" s="7">
        <v>1</v>
      </c>
      <c r="J176" s="7">
        <v>971</v>
      </c>
      <c r="K176" s="7">
        <v>193</v>
      </c>
      <c r="L176" s="7">
        <v>161</v>
      </c>
      <c r="M176" s="7">
        <v>1</v>
      </c>
      <c r="N176" s="7">
        <v>1</v>
      </c>
      <c r="O176" s="7">
        <v>7</v>
      </c>
      <c r="P176" s="7">
        <v>431</v>
      </c>
      <c r="Q176" s="22">
        <f t="shared" si="20"/>
        <v>0.16580844490216273</v>
      </c>
      <c r="R176" s="22">
        <f t="shared" si="21"/>
        <v>0.44387229660144184</v>
      </c>
      <c r="S176" s="22" t="e">
        <f t="shared" si="22"/>
        <v>#N/A</v>
      </c>
      <c r="T176" s="22" t="e">
        <f t="shared" si="23"/>
        <v>#N/A</v>
      </c>
      <c r="U176" s="22">
        <f t="shared" si="24"/>
        <v>7.2090628218331619E-3</v>
      </c>
      <c r="V176" s="23">
        <f t="shared" si="25"/>
        <v>6.2111801242236021E-3</v>
      </c>
      <c r="W176" s="24">
        <f t="shared" si="26"/>
        <v>3.0800821355236141E-3</v>
      </c>
      <c r="X176" s="24">
        <f t="shared" si="27"/>
        <v>1.0298661174047373E-3</v>
      </c>
      <c r="Y176" s="23">
        <f t="shared" si="28"/>
        <v>0.99691991786447642</v>
      </c>
    </row>
    <row r="177" spans="1:25">
      <c r="A177">
        <v>176</v>
      </c>
      <c r="B177" t="s">
        <v>965</v>
      </c>
      <c r="C177" t="s">
        <v>517</v>
      </c>
      <c r="D177" s="4">
        <v>45596.675694444442</v>
      </c>
      <c r="E177" s="10" t="s">
        <v>886</v>
      </c>
      <c r="F177" s="7">
        <v>1103</v>
      </c>
      <c r="G177" s="7">
        <v>5</v>
      </c>
      <c r="H177" s="7">
        <v>1</v>
      </c>
      <c r="I177" s="7">
        <v>4</v>
      </c>
      <c r="J177" s="7">
        <v>1098</v>
      </c>
      <c r="K177" s="7">
        <v>319</v>
      </c>
      <c r="L177" s="7">
        <v>238</v>
      </c>
      <c r="M177" s="7">
        <v>55</v>
      </c>
      <c r="N177" s="7">
        <v>30</v>
      </c>
      <c r="O177" s="7">
        <v>2</v>
      </c>
      <c r="P177" s="7">
        <v>460</v>
      </c>
      <c r="Q177" s="22">
        <f t="shared" si="20"/>
        <v>0.21675774134790529</v>
      </c>
      <c r="R177" s="22">
        <f t="shared" si="21"/>
        <v>0.41894353369763204</v>
      </c>
      <c r="S177" s="22" t="e">
        <f t="shared" si="22"/>
        <v>#N/A</v>
      </c>
      <c r="T177" s="22" t="e">
        <f t="shared" si="23"/>
        <v>#N/A</v>
      </c>
      <c r="U177" s="22">
        <f t="shared" si="24"/>
        <v>1.8214936247723133E-3</v>
      </c>
      <c r="V177" s="23">
        <f t="shared" si="25"/>
        <v>0.12605042016806722</v>
      </c>
      <c r="W177" s="24">
        <f t="shared" si="26"/>
        <v>4.5330915684496827E-3</v>
      </c>
      <c r="X177" s="24">
        <f t="shared" si="27"/>
        <v>2.7322404371584699E-2</v>
      </c>
      <c r="Y177" s="23">
        <f t="shared" si="28"/>
        <v>0.99546690843155028</v>
      </c>
    </row>
    <row r="178" spans="1:25">
      <c r="A178">
        <v>177</v>
      </c>
      <c r="B178" t="s">
        <v>1055</v>
      </c>
      <c r="C178" t="s">
        <v>599</v>
      </c>
      <c r="D178" s="4">
        <v>45597.625</v>
      </c>
      <c r="E178" s="10" t="s">
        <v>791</v>
      </c>
      <c r="F178" s="7">
        <v>455</v>
      </c>
      <c r="G178" s="7">
        <v>2</v>
      </c>
      <c r="H178" s="7">
        <v>0</v>
      </c>
      <c r="I178" s="7">
        <v>2</v>
      </c>
      <c r="J178" s="7">
        <v>453</v>
      </c>
      <c r="K178" s="7">
        <v>130</v>
      </c>
      <c r="L178" s="7">
        <v>97</v>
      </c>
      <c r="M178" s="7">
        <v>8</v>
      </c>
      <c r="N178" s="7">
        <v>7</v>
      </c>
      <c r="O178" s="7">
        <v>0</v>
      </c>
      <c r="P178" s="7">
        <v>112</v>
      </c>
      <c r="Q178" s="22">
        <f t="shared" si="20"/>
        <v>0.21412803532008831</v>
      </c>
      <c r="R178" s="22">
        <f t="shared" si="21"/>
        <v>0.24724061810154527</v>
      </c>
      <c r="S178" s="22" t="e">
        <f t="shared" si="22"/>
        <v>#N/A</v>
      </c>
      <c r="T178" s="22" t="e">
        <f t="shared" si="23"/>
        <v>#N/A</v>
      </c>
      <c r="U178" s="22">
        <f t="shared" si="24"/>
        <v>0</v>
      </c>
      <c r="V178" s="23">
        <f t="shared" si="25"/>
        <v>7.2164948453608241E-2</v>
      </c>
      <c r="W178" s="24">
        <f t="shared" si="26"/>
        <v>4.3956043956043956E-3</v>
      </c>
      <c r="X178" s="24">
        <f t="shared" si="27"/>
        <v>1.5452538631346579E-2</v>
      </c>
      <c r="Y178" s="23">
        <f t="shared" si="28"/>
        <v>0.99560439560439562</v>
      </c>
    </row>
    <row r="179" spans="1:25">
      <c r="A179">
        <v>178</v>
      </c>
      <c r="B179" t="s">
        <v>1055</v>
      </c>
      <c r="C179" t="s">
        <v>599</v>
      </c>
      <c r="D179" s="4">
        <v>45597.625</v>
      </c>
      <c r="E179" s="10" t="s">
        <v>791</v>
      </c>
      <c r="F179" s="7">
        <v>455</v>
      </c>
      <c r="G179" s="7">
        <v>1</v>
      </c>
      <c r="H179" s="7">
        <v>0</v>
      </c>
      <c r="I179" s="7">
        <v>1</v>
      </c>
      <c r="J179" s="7">
        <v>454</v>
      </c>
      <c r="K179" s="7">
        <v>134</v>
      </c>
      <c r="L179" s="7">
        <v>104</v>
      </c>
      <c r="M179" s="7">
        <v>17</v>
      </c>
      <c r="N179" s="7">
        <v>9</v>
      </c>
      <c r="O179" s="7">
        <v>2</v>
      </c>
      <c r="P179" s="7">
        <v>112</v>
      </c>
      <c r="Q179" s="22">
        <f t="shared" si="20"/>
        <v>0.22907488986784141</v>
      </c>
      <c r="R179" s="22">
        <f t="shared" si="21"/>
        <v>0.24669603524229075</v>
      </c>
      <c r="S179" s="22" t="e">
        <f t="shared" si="22"/>
        <v>#N/A</v>
      </c>
      <c r="T179" s="22" t="e">
        <f t="shared" si="23"/>
        <v>#N/A</v>
      </c>
      <c r="U179" s="22">
        <f t="shared" si="24"/>
        <v>4.4052863436123352E-3</v>
      </c>
      <c r="V179" s="23">
        <f t="shared" si="25"/>
        <v>8.6538461538461536E-2</v>
      </c>
      <c r="W179" s="24">
        <f t="shared" si="26"/>
        <v>2.1978021978021978E-3</v>
      </c>
      <c r="X179" s="24">
        <f t="shared" si="27"/>
        <v>1.9823788546255508E-2</v>
      </c>
      <c r="Y179" s="23">
        <f t="shared" si="28"/>
        <v>0.99780219780219781</v>
      </c>
    </row>
    <row r="180" spans="1:25">
      <c r="A180">
        <v>179</v>
      </c>
      <c r="B180" t="s">
        <v>1055</v>
      </c>
      <c r="C180" t="s">
        <v>599</v>
      </c>
      <c r="D180" s="4">
        <v>45597.750798611109</v>
      </c>
      <c r="E180" s="10" t="s">
        <v>887</v>
      </c>
      <c r="F180" s="7">
        <v>3046</v>
      </c>
      <c r="G180" s="7">
        <v>5</v>
      </c>
      <c r="H180" s="7">
        <v>1</v>
      </c>
      <c r="I180" s="7">
        <v>4</v>
      </c>
      <c r="J180" s="7">
        <v>3041</v>
      </c>
      <c r="K180" s="7">
        <v>1099</v>
      </c>
      <c r="L180" s="7">
        <v>772</v>
      </c>
      <c r="M180" s="7">
        <v>89</v>
      </c>
      <c r="N180" s="7">
        <v>65</v>
      </c>
      <c r="O180" s="7">
        <v>8</v>
      </c>
      <c r="P180" s="7">
        <v>1403</v>
      </c>
      <c r="Q180" s="22">
        <f t="shared" si="20"/>
        <v>0.25386386057218019</v>
      </c>
      <c r="R180" s="22">
        <f t="shared" si="21"/>
        <v>0.46136139427819794</v>
      </c>
      <c r="S180" s="22" t="e">
        <f t="shared" si="22"/>
        <v>#N/A</v>
      </c>
      <c r="T180" s="22" t="e">
        <f t="shared" si="23"/>
        <v>#N/A</v>
      </c>
      <c r="U180" s="22">
        <f t="shared" si="24"/>
        <v>2.6307135810588623E-3</v>
      </c>
      <c r="V180" s="23">
        <f t="shared" si="25"/>
        <v>8.4196891191709838E-2</v>
      </c>
      <c r="W180" s="24">
        <f t="shared" si="26"/>
        <v>1.6414970453053185E-3</v>
      </c>
      <c r="X180" s="24">
        <f t="shared" si="27"/>
        <v>2.1374547846103254E-2</v>
      </c>
      <c r="Y180" s="23">
        <f t="shared" si="28"/>
        <v>0.99835850295469464</v>
      </c>
    </row>
    <row r="181" spans="1:25">
      <c r="A181">
        <v>180</v>
      </c>
      <c r="B181" t="s">
        <v>1059</v>
      </c>
      <c r="C181" t="s">
        <v>660</v>
      </c>
      <c r="D181" s="4">
        <v>45598.677083333336</v>
      </c>
      <c r="E181" s="10" t="s">
        <v>888</v>
      </c>
      <c r="F181" s="7">
        <v>115</v>
      </c>
      <c r="G181" s="7">
        <v>0</v>
      </c>
      <c r="H181" s="7">
        <v>0</v>
      </c>
      <c r="I181" s="7">
        <v>0</v>
      </c>
      <c r="J181" s="7">
        <v>115</v>
      </c>
      <c r="K181" s="7">
        <v>97</v>
      </c>
      <c r="L181" s="7">
        <v>53</v>
      </c>
      <c r="M181" s="7">
        <v>392</v>
      </c>
      <c r="N181" s="7">
        <v>25</v>
      </c>
      <c r="O181" s="7">
        <v>0</v>
      </c>
      <c r="P181" s="7">
        <v>60</v>
      </c>
      <c r="Q181" s="22">
        <f t="shared" si="20"/>
        <v>0.46086956521739131</v>
      </c>
      <c r="R181" s="22">
        <f t="shared" si="21"/>
        <v>0.52173913043478259</v>
      </c>
      <c r="S181" s="22" t="e">
        <f t="shared" si="22"/>
        <v>#N/A</v>
      </c>
      <c r="T181" s="22" t="e">
        <f t="shared" si="23"/>
        <v>#N/A</v>
      </c>
      <c r="U181" s="22">
        <f t="shared" si="24"/>
        <v>0</v>
      </c>
      <c r="V181" s="23">
        <f t="shared" si="25"/>
        <v>0.47169811320754718</v>
      </c>
      <c r="W181" s="24">
        <f t="shared" si="26"/>
        <v>0</v>
      </c>
      <c r="X181" s="24">
        <f t="shared" si="27"/>
        <v>0.21739130434782608</v>
      </c>
      <c r="Y181" s="23">
        <f t="shared" si="28"/>
        <v>1</v>
      </c>
    </row>
    <row r="182" spans="1:25">
      <c r="A182">
        <v>181</v>
      </c>
      <c r="B182" t="s">
        <v>1058</v>
      </c>
      <c r="C182" t="s">
        <v>592</v>
      </c>
      <c r="D182" s="4">
        <v>45598.697916666664</v>
      </c>
      <c r="E182" s="10" t="s">
        <v>876</v>
      </c>
      <c r="F182" s="7">
        <v>6770</v>
      </c>
      <c r="G182" s="7">
        <v>18</v>
      </c>
      <c r="H182" s="7">
        <v>9</v>
      </c>
      <c r="I182" s="7">
        <v>9</v>
      </c>
      <c r="J182" s="7">
        <v>6752</v>
      </c>
      <c r="K182" s="7">
        <v>2475</v>
      </c>
      <c r="L182" s="7">
        <v>1784</v>
      </c>
      <c r="M182" s="7">
        <v>1712</v>
      </c>
      <c r="N182" s="7">
        <v>1235</v>
      </c>
      <c r="O182" s="7">
        <v>13</v>
      </c>
      <c r="P182" s="7">
        <v>2627</v>
      </c>
      <c r="Q182" s="22">
        <f t="shared" si="20"/>
        <v>0.26421800947867297</v>
      </c>
      <c r="R182" s="22">
        <f t="shared" si="21"/>
        <v>0.38906990521327012</v>
      </c>
      <c r="S182" s="22" t="e">
        <f t="shared" si="22"/>
        <v>#N/A</v>
      </c>
      <c r="T182" s="22" t="e">
        <f t="shared" si="23"/>
        <v>#N/A</v>
      </c>
      <c r="U182" s="22">
        <f t="shared" si="24"/>
        <v>1.9253554502369668E-3</v>
      </c>
      <c r="V182" s="23">
        <f t="shared" si="25"/>
        <v>0.69226457399103136</v>
      </c>
      <c r="W182" s="24">
        <f t="shared" si="26"/>
        <v>2.6587887740029542E-3</v>
      </c>
      <c r="X182" s="24">
        <f t="shared" si="27"/>
        <v>0.18290876777251186</v>
      </c>
      <c r="Y182" s="23">
        <f t="shared" si="28"/>
        <v>0.99734121122599706</v>
      </c>
    </row>
    <row r="183" spans="1:25">
      <c r="A183">
        <v>182</v>
      </c>
      <c r="B183" t="s">
        <v>1052</v>
      </c>
      <c r="C183" t="s">
        <v>560</v>
      </c>
      <c r="D183" s="4">
        <v>45599.739583333336</v>
      </c>
      <c r="E183" s="10" t="s">
        <v>889</v>
      </c>
      <c r="F183" s="7">
        <v>828</v>
      </c>
      <c r="G183" s="7">
        <v>3</v>
      </c>
      <c r="H183" s="7">
        <v>2</v>
      </c>
      <c r="I183" s="7">
        <v>1</v>
      </c>
      <c r="J183" s="7">
        <v>825</v>
      </c>
      <c r="K183" s="7">
        <v>388</v>
      </c>
      <c r="L183" s="7">
        <v>258</v>
      </c>
      <c r="M183" s="7">
        <v>43</v>
      </c>
      <c r="N183" s="7">
        <v>32</v>
      </c>
      <c r="O183" s="7">
        <v>0</v>
      </c>
      <c r="P183" s="7">
        <v>285</v>
      </c>
      <c r="Q183" s="22">
        <f t="shared" si="20"/>
        <v>0.31272727272727274</v>
      </c>
      <c r="R183" s="22">
        <f t="shared" si="21"/>
        <v>0.34545454545454546</v>
      </c>
      <c r="S183" s="22" t="e">
        <f t="shared" si="22"/>
        <v>#N/A</v>
      </c>
      <c r="T183" s="22" t="e">
        <f t="shared" si="23"/>
        <v>#N/A</v>
      </c>
      <c r="U183" s="22">
        <f t="shared" si="24"/>
        <v>0</v>
      </c>
      <c r="V183" s="23">
        <f t="shared" si="25"/>
        <v>0.12403100775193798</v>
      </c>
      <c r="W183" s="24">
        <f t="shared" si="26"/>
        <v>3.6231884057971015E-3</v>
      </c>
      <c r="X183" s="24">
        <f t="shared" si="27"/>
        <v>3.8787878787878788E-2</v>
      </c>
      <c r="Y183" s="23">
        <f t="shared" si="28"/>
        <v>0.99637681159420288</v>
      </c>
    </row>
    <row r="184" spans="1:25">
      <c r="A184">
        <v>183</v>
      </c>
      <c r="B184" t="s">
        <v>966</v>
      </c>
      <c r="C184" t="s">
        <v>540</v>
      </c>
      <c r="D184" s="4">
        <v>45600.646527777775</v>
      </c>
      <c r="E184" s="10" t="s">
        <v>815</v>
      </c>
      <c r="F184" s="7">
        <v>3763</v>
      </c>
      <c r="G184" s="7">
        <v>12</v>
      </c>
      <c r="H184" s="7">
        <v>0</v>
      </c>
      <c r="I184" s="7">
        <v>12</v>
      </c>
      <c r="J184" s="7">
        <v>3751</v>
      </c>
      <c r="K184" s="7">
        <v>1679</v>
      </c>
      <c r="L184" s="7">
        <v>1046</v>
      </c>
      <c r="M184" s="7">
        <v>117</v>
      </c>
      <c r="N184" s="7">
        <v>87</v>
      </c>
      <c r="O184" s="7">
        <v>5</v>
      </c>
      <c r="P184" s="7">
        <v>2120</v>
      </c>
      <c r="Q184" s="22">
        <f t="shared" si="20"/>
        <v>0.27885897094108236</v>
      </c>
      <c r="R184" s="22">
        <f t="shared" si="21"/>
        <v>0.56518261796854175</v>
      </c>
      <c r="S184" s="22" t="e">
        <f t="shared" si="22"/>
        <v>#N/A</v>
      </c>
      <c r="T184" s="22" t="e">
        <f t="shared" si="23"/>
        <v>#N/A</v>
      </c>
      <c r="U184" s="22">
        <f t="shared" si="24"/>
        <v>1.3329778725673154E-3</v>
      </c>
      <c r="V184" s="23">
        <f t="shared" si="25"/>
        <v>8.3173996175908219E-2</v>
      </c>
      <c r="W184" s="24">
        <f t="shared" si="26"/>
        <v>3.1889449906989105E-3</v>
      </c>
      <c r="X184" s="24">
        <f t="shared" si="27"/>
        <v>2.3193814982671288E-2</v>
      </c>
      <c r="Y184" s="23">
        <f t="shared" si="28"/>
        <v>0.99681105500930112</v>
      </c>
    </row>
    <row r="185" spans="1:25">
      <c r="A185">
        <v>184</v>
      </c>
      <c r="B185" t="s">
        <v>965</v>
      </c>
      <c r="C185" t="s">
        <v>516</v>
      </c>
      <c r="D185" s="4">
        <v>45603.756249999999</v>
      </c>
      <c r="E185" s="10" t="s">
        <v>890</v>
      </c>
      <c r="F185" s="7">
        <v>6504</v>
      </c>
      <c r="G185" s="7">
        <v>22</v>
      </c>
      <c r="H185" s="7">
        <v>8</v>
      </c>
      <c r="I185" s="7">
        <v>14</v>
      </c>
      <c r="J185" s="7">
        <v>6482</v>
      </c>
      <c r="K185" s="7">
        <v>1946</v>
      </c>
      <c r="L185" s="7">
        <v>1519</v>
      </c>
      <c r="M185" s="7">
        <v>135</v>
      </c>
      <c r="N185" s="7">
        <v>59</v>
      </c>
      <c r="O185" s="7">
        <v>8</v>
      </c>
      <c r="P185" s="7">
        <v>2361</v>
      </c>
      <c r="Q185" s="22">
        <f t="shared" si="20"/>
        <v>0.23434125269978401</v>
      </c>
      <c r="R185" s="22">
        <f t="shared" si="21"/>
        <v>0.36423943227398953</v>
      </c>
      <c r="S185" s="22" t="e">
        <f t="shared" si="22"/>
        <v>#N/A</v>
      </c>
      <c r="T185" s="22" t="e">
        <f t="shared" si="23"/>
        <v>#N/A</v>
      </c>
      <c r="U185" s="22">
        <f t="shared" si="24"/>
        <v>1.2341869793273681E-3</v>
      </c>
      <c r="V185" s="23">
        <f t="shared" si="25"/>
        <v>3.8841342988808425E-2</v>
      </c>
      <c r="W185" s="24">
        <f t="shared" si="26"/>
        <v>3.3825338253382535E-3</v>
      </c>
      <c r="X185" s="24">
        <f t="shared" si="27"/>
        <v>9.10212897253934E-3</v>
      </c>
      <c r="Y185" s="23">
        <f t="shared" si="28"/>
        <v>0.99661746617466174</v>
      </c>
    </row>
    <row r="186" spans="1:25">
      <c r="A186">
        <v>185</v>
      </c>
      <c r="B186" t="s">
        <v>1058</v>
      </c>
      <c r="C186" t="s">
        <v>591</v>
      </c>
      <c r="D186" s="4">
        <v>45604.743055555555</v>
      </c>
      <c r="E186" s="10" t="s">
        <v>891</v>
      </c>
      <c r="F186" s="7">
        <v>6757</v>
      </c>
      <c r="G186" s="7">
        <v>14</v>
      </c>
      <c r="H186" s="7">
        <v>9</v>
      </c>
      <c r="I186" s="7">
        <v>5</v>
      </c>
      <c r="J186" s="7">
        <v>6743</v>
      </c>
      <c r="K186" s="7">
        <v>2284</v>
      </c>
      <c r="L186" s="7">
        <v>1735</v>
      </c>
      <c r="M186" s="7">
        <v>1670</v>
      </c>
      <c r="N186" s="7">
        <v>1270</v>
      </c>
      <c r="O186" s="7">
        <v>11</v>
      </c>
      <c r="P186" s="7">
        <v>2614</v>
      </c>
      <c r="Q186" s="22">
        <f t="shared" si="20"/>
        <v>0.25730387068070593</v>
      </c>
      <c r="R186" s="22">
        <f t="shared" si="21"/>
        <v>0.38766127836274655</v>
      </c>
      <c r="S186" s="22" t="e">
        <f t="shared" si="22"/>
        <v>#N/A</v>
      </c>
      <c r="T186" s="22" t="e">
        <f t="shared" si="23"/>
        <v>#N/A</v>
      </c>
      <c r="U186" s="22">
        <f t="shared" si="24"/>
        <v>1.6313213703099511E-3</v>
      </c>
      <c r="V186" s="23">
        <f t="shared" si="25"/>
        <v>0.73198847262247835</v>
      </c>
      <c r="W186" s="24">
        <f t="shared" si="26"/>
        <v>2.0719254106852155E-3</v>
      </c>
      <c r="X186" s="24">
        <f t="shared" si="27"/>
        <v>0.18834346729942161</v>
      </c>
      <c r="Y186" s="23">
        <f t="shared" si="28"/>
        <v>0.99792807458931476</v>
      </c>
    </row>
    <row r="187" spans="1:25">
      <c r="A187">
        <v>186</v>
      </c>
      <c r="B187" t="s">
        <v>1059</v>
      </c>
      <c r="C187" t="s">
        <v>659</v>
      </c>
      <c r="D187" s="4">
        <v>45605.729166666664</v>
      </c>
      <c r="E187" s="10" t="s">
        <v>892</v>
      </c>
      <c r="F187" s="7">
        <v>157</v>
      </c>
      <c r="G187" s="7">
        <v>4</v>
      </c>
      <c r="H187" s="7">
        <v>1</v>
      </c>
      <c r="I187" s="7">
        <v>3</v>
      </c>
      <c r="J187" s="7">
        <v>153</v>
      </c>
      <c r="K187" s="7">
        <v>103</v>
      </c>
      <c r="L187" s="7">
        <v>57</v>
      </c>
      <c r="M187" s="7">
        <v>376</v>
      </c>
      <c r="N187" s="7">
        <v>30</v>
      </c>
      <c r="O187" s="7">
        <v>0</v>
      </c>
      <c r="P187" s="7">
        <v>63</v>
      </c>
      <c r="Q187" s="22">
        <f t="shared" si="20"/>
        <v>0.37254901960784315</v>
      </c>
      <c r="R187" s="22">
        <f t="shared" si="21"/>
        <v>0.41176470588235292</v>
      </c>
      <c r="S187" s="22" t="e">
        <f t="shared" si="22"/>
        <v>#N/A</v>
      </c>
      <c r="T187" s="22" t="e">
        <f t="shared" si="23"/>
        <v>#N/A</v>
      </c>
      <c r="U187" s="22">
        <f t="shared" si="24"/>
        <v>0</v>
      </c>
      <c r="V187" s="23">
        <f t="shared" si="25"/>
        <v>0.52631578947368418</v>
      </c>
      <c r="W187" s="24">
        <f t="shared" si="26"/>
        <v>2.5477707006369428E-2</v>
      </c>
      <c r="X187" s="24">
        <f t="shared" si="27"/>
        <v>0.19607843137254902</v>
      </c>
      <c r="Y187" s="23">
        <f t="shared" si="28"/>
        <v>0.97452229299363058</v>
      </c>
    </row>
    <row r="188" spans="1:25">
      <c r="A188">
        <v>187</v>
      </c>
      <c r="B188" t="s">
        <v>967</v>
      </c>
      <c r="C188" t="s">
        <v>550</v>
      </c>
      <c r="D188" s="4">
        <v>45606.670138888891</v>
      </c>
      <c r="E188" s="10" t="s">
        <v>806</v>
      </c>
      <c r="F188" s="7">
        <v>10150</v>
      </c>
      <c r="G188" s="7">
        <v>32</v>
      </c>
      <c r="H188" s="7">
        <v>13</v>
      </c>
      <c r="I188" s="7">
        <v>19</v>
      </c>
      <c r="J188" s="7">
        <v>10118</v>
      </c>
      <c r="K188" s="7">
        <v>3197</v>
      </c>
      <c r="L188" s="7">
        <v>2377</v>
      </c>
      <c r="M188" s="7">
        <v>5326</v>
      </c>
      <c r="N188" s="7">
        <v>1547</v>
      </c>
      <c r="O188" s="7">
        <v>11</v>
      </c>
      <c r="P188" s="7">
        <v>7865</v>
      </c>
      <c r="Q188" s="22">
        <f t="shared" si="20"/>
        <v>0.23492785135402253</v>
      </c>
      <c r="R188" s="22">
        <f t="shared" si="21"/>
        <v>0.7773275350859854</v>
      </c>
      <c r="S188" s="22" t="e">
        <f t="shared" si="22"/>
        <v>#N/A</v>
      </c>
      <c r="T188" s="22" t="e">
        <f t="shared" si="23"/>
        <v>#N/A</v>
      </c>
      <c r="U188" s="22">
        <f t="shared" si="24"/>
        <v>1.0871713777426369E-3</v>
      </c>
      <c r="V188" s="23">
        <f t="shared" si="25"/>
        <v>0.650820361800589</v>
      </c>
      <c r="W188" s="24">
        <f t="shared" si="26"/>
        <v>3.1527093596059115E-3</v>
      </c>
      <c r="X188" s="24">
        <f t="shared" si="27"/>
        <v>0.15289582921525993</v>
      </c>
      <c r="Y188" s="23">
        <f t="shared" si="28"/>
        <v>0.99684729064039412</v>
      </c>
    </row>
    <row r="189" spans="1:25">
      <c r="A189">
        <v>188</v>
      </c>
      <c r="B189" t="s">
        <v>966</v>
      </c>
      <c r="C189" t="s">
        <v>695</v>
      </c>
      <c r="D189" s="4">
        <v>45607.688888888886</v>
      </c>
      <c r="E189" s="10" t="s">
        <v>893</v>
      </c>
      <c r="F189" s="7">
        <v>10458</v>
      </c>
      <c r="G189" s="7">
        <v>17</v>
      </c>
      <c r="H189" s="7">
        <v>7</v>
      </c>
      <c r="I189" s="7">
        <v>10</v>
      </c>
      <c r="J189" s="7">
        <v>10441</v>
      </c>
      <c r="K189" s="7">
        <v>4418</v>
      </c>
      <c r="L189" s="7">
        <v>2933</v>
      </c>
      <c r="M189" s="7">
        <v>34195</v>
      </c>
      <c r="N189" s="7">
        <v>1786</v>
      </c>
      <c r="O189" s="7">
        <v>8</v>
      </c>
      <c r="P189" s="7">
        <v>3457</v>
      </c>
      <c r="Q189" s="22">
        <f t="shared" si="20"/>
        <v>0.28091179005842354</v>
      </c>
      <c r="R189" s="22">
        <f t="shared" si="21"/>
        <v>0.33109855377837372</v>
      </c>
      <c r="S189" s="22" t="e">
        <f t="shared" si="22"/>
        <v>#N/A</v>
      </c>
      <c r="T189" s="22" t="e">
        <f t="shared" si="23"/>
        <v>#N/A</v>
      </c>
      <c r="U189" s="22">
        <f t="shared" si="24"/>
        <v>7.6621013312901066E-4</v>
      </c>
      <c r="V189" s="23">
        <f t="shared" si="25"/>
        <v>0.60893283327650871</v>
      </c>
      <c r="W189" s="24">
        <f t="shared" si="26"/>
        <v>1.6255498183209026E-3</v>
      </c>
      <c r="X189" s="24">
        <f t="shared" si="27"/>
        <v>0.17105641222105161</v>
      </c>
      <c r="Y189" s="23">
        <f t="shared" si="28"/>
        <v>0.99837445018167914</v>
      </c>
    </row>
    <row r="190" spans="1:25">
      <c r="A190">
        <v>189</v>
      </c>
      <c r="B190" t="s">
        <v>965</v>
      </c>
      <c r="C190" t="s">
        <v>515</v>
      </c>
      <c r="D190" s="4">
        <v>45610.666666666664</v>
      </c>
      <c r="E190" s="10" t="s">
        <v>797</v>
      </c>
      <c r="F190" s="7">
        <v>6419</v>
      </c>
      <c r="G190" s="7">
        <v>12</v>
      </c>
      <c r="H190" s="7">
        <v>7</v>
      </c>
      <c r="I190" s="7">
        <v>5</v>
      </c>
      <c r="J190" s="7">
        <v>6407</v>
      </c>
      <c r="K190" s="7">
        <v>1809</v>
      </c>
      <c r="L190" s="7">
        <v>1438</v>
      </c>
      <c r="M190" s="7">
        <v>113</v>
      </c>
      <c r="N190" s="7">
        <v>52</v>
      </c>
      <c r="O190" s="7">
        <v>5</v>
      </c>
      <c r="P190" s="7">
        <v>2276</v>
      </c>
      <c r="Q190" s="22">
        <f t="shared" si="20"/>
        <v>0.22444201654440457</v>
      </c>
      <c r="R190" s="22">
        <f t="shared" si="21"/>
        <v>0.35523646012174187</v>
      </c>
      <c r="S190" s="22" t="e">
        <f t="shared" si="22"/>
        <v>#N/A</v>
      </c>
      <c r="T190" s="22" t="e">
        <f t="shared" si="23"/>
        <v>#N/A</v>
      </c>
      <c r="U190" s="22">
        <f t="shared" si="24"/>
        <v>7.8039644139222728E-4</v>
      </c>
      <c r="V190" s="23">
        <f t="shared" si="25"/>
        <v>3.6161335187760782E-2</v>
      </c>
      <c r="W190" s="24">
        <f t="shared" si="26"/>
        <v>1.8694500701043775E-3</v>
      </c>
      <c r="X190" s="24">
        <f t="shared" si="27"/>
        <v>8.1161229904791639E-3</v>
      </c>
      <c r="Y190" s="23">
        <f t="shared" si="28"/>
        <v>0.99813054992989558</v>
      </c>
    </row>
    <row r="191" spans="1:25">
      <c r="A191">
        <v>190</v>
      </c>
      <c r="B191" t="s">
        <v>1058</v>
      </c>
      <c r="C191" t="s">
        <v>590</v>
      </c>
      <c r="D191" s="4">
        <v>45611.668541666666</v>
      </c>
      <c r="E191" s="10" t="s">
        <v>894</v>
      </c>
      <c r="F191" s="7">
        <v>6721</v>
      </c>
      <c r="G191" s="7">
        <v>10</v>
      </c>
      <c r="H191" s="7">
        <v>6</v>
      </c>
      <c r="I191" s="7">
        <v>4</v>
      </c>
      <c r="J191" s="7">
        <v>6711</v>
      </c>
      <c r="K191" s="7">
        <v>2044</v>
      </c>
      <c r="L191" s="7">
        <v>1575</v>
      </c>
      <c r="M191" s="7">
        <v>13036</v>
      </c>
      <c r="N191" s="7">
        <v>1182</v>
      </c>
      <c r="O191" s="7">
        <v>5</v>
      </c>
      <c r="P191" s="7">
        <v>2578</v>
      </c>
      <c r="Q191" s="22">
        <f t="shared" si="20"/>
        <v>0.23468931604827895</v>
      </c>
      <c r="R191" s="22">
        <f t="shared" si="21"/>
        <v>0.38414543287140518</v>
      </c>
      <c r="S191" s="22" t="e">
        <f t="shared" si="22"/>
        <v>#N/A</v>
      </c>
      <c r="T191" s="22" t="e">
        <f t="shared" si="23"/>
        <v>#N/A</v>
      </c>
      <c r="U191" s="22">
        <f t="shared" si="24"/>
        <v>7.4504544777231408E-4</v>
      </c>
      <c r="V191" s="23">
        <f t="shared" si="25"/>
        <v>0.75047619047619052</v>
      </c>
      <c r="W191" s="24">
        <f t="shared" si="26"/>
        <v>1.4878738282993601E-3</v>
      </c>
      <c r="X191" s="24">
        <f t="shared" si="27"/>
        <v>0.17612874385337507</v>
      </c>
      <c r="Y191" s="23">
        <f t="shared" si="28"/>
        <v>0.9985121261717006</v>
      </c>
    </row>
    <row r="192" spans="1:25">
      <c r="A192">
        <v>191</v>
      </c>
      <c r="B192" t="s">
        <v>1049</v>
      </c>
      <c r="C192" t="s">
        <v>576</v>
      </c>
      <c r="D192" s="4">
        <v>45611.6875</v>
      </c>
      <c r="E192" s="10" t="s">
        <v>799</v>
      </c>
      <c r="F192" s="7">
        <v>100</v>
      </c>
      <c r="G192" s="7">
        <v>0</v>
      </c>
      <c r="H192" s="7">
        <v>0</v>
      </c>
      <c r="I192" s="7">
        <v>0</v>
      </c>
      <c r="J192" s="7">
        <v>100</v>
      </c>
      <c r="K192" s="7">
        <v>203</v>
      </c>
      <c r="L192" s="7">
        <v>35</v>
      </c>
      <c r="M192" s="7">
        <v>42</v>
      </c>
      <c r="N192" s="7">
        <v>14</v>
      </c>
      <c r="O192" s="7">
        <v>0</v>
      </c>
      <c r="P192" s="7">
        <v>76</v>
      </c>
      <c r="Q192" s="22">
        <f t="shared" si="20"/>
        <v>0.35</v>
      </c>
      <c r="R192" s="22">
        <f t="shared" si="21"/>
        <v>0.76</v>
      </c>
      <c r="S192" s="22" t="e">
        <f t="shared" si="22"/>
        <v>#N/A</v>
      </c>
      <c r="T192" s="22" t="e">
        <f t="shared" si="23"/>
        <v>#N/A</v>
      </c>
      <c r="U192" s="22">
        <f t="shared" si="24"/>
        <v>0</v>
      </c>
      <c r="V192" s="23">
        <f t="shared" si="25"/>
        <v>0.4</v>
      </c>
      <c r="W192" s="24">
        <f t="shared" si="26"/>
        <v>0</v>
      </c>
      <c r="X192" s="24">
        <f t="shared" si="27"/>
        <v>0.14000000000000001</v>
      </c>
      <c r="Y192" s="23">
        <f t="shared" si="28"/>
        <v>1</v>
      </c>
    </row>
    <row r="193" spans="1:25">
      <c r="A193">
        <v>192</v>
      </c>
      <c r="B193" t="s">
        <v>966</v>
      </c>
      <c r="C193" t="s">
        <v>539</v>
      </c>
      <c r="D193" s="4">
        <v>45612.692037037035</v>
      </c>
      <c r="E193" s="10" t="s">
        <v>895</v>
      </c>
      <c r="F193" s="7">
        <v>6254</v>
      </c>
      <c r="G193" s="7">
        <v>29</v>
      </c>
      <c r="H193" s="7">
        <v>3</v>
      </c>
      <c r="I193" s="7">
        <v>26</v>
      </c>
      <c r="J193" s="7">
        <v>6225</v>
      </c>
      <c r="K193" s="7">
        <v>1922</v>
      </c>
      <c r="L193" s="7">
        <v>1480</v>
      </c>
      <c r="M193" s="7">
        <v>17047</v>
      </c>
      <c r="N193" s="7">
        <v>1025</v>
      </c>
      <c r="O193" s="7">
        <v>11</v>
      </c>
      <c r="P193" s="7">
        <v>2111</v>
      </c>
      <c r="Q193" s="22">
        <f t="shared" si="20"/>
        <v>0.23775100401606425</v>
      </c>
      <c r="R193" s="22">
        <f t="shared" si="21"/>
        <v>0.33911646586345384</v>
      </c>
      <c r="S193" s="22" t="e">
        <f t="shared" si="22"/>
        <v>#N/A</v>
      </c>
      <c r="T193" s="22" t="e">
        <f t="shared" si="23"/>
        <v>#N/A</v>
      </c>
      <c r="U193" s="22">
        <f t="shared" si="24"/>
        <v>1.7670682730923696E-3</v>
      </c>
      <c r="V193" s="23">
        <f t="shared" si="25"/>
        <v>0.69256756756756754</v>
      </c>
      <c r="W193" s="24">
        <f t="shared" si="26"/>
        <v>4.6370322993284302E-3</v>
      </c>
      <c r="X193" s="24">
        <f t="shared" si="27"/>
        <v>0.1646586345381526</v>
      </c>
      <c r="Y193" s="23">
        <f t="shared" si="28"/>
        <v>0.99536296770067156</v>
      </c>
    </row>
    <row r="194" spans="1:25">
      <c r="A194">
        <v>193</v>
      </c>
      <c r="B194" t="s">
        <v>1058</v>
      </c>
      <c r="C194" t="s">
        <v>588</v>
      </c>
      <c r="D194" s="4">
        <v>45617.711805555555</v>
      </c>
      <c r="E194" s="10" t="s">
        <v>896</v>
      </c>
      <c r="F194" s="7">
        <v>6709</v>
      </c>
      <c r="G194" s="7">
        <v>31</v>
      </c>
      <c r="H194" s="7">
        <v>5</v>
      </c>
      <c r="I194" s="7">
        <v>26</v>
      </c>
      <c r="J194" s="7">
        <v>6678</v>
      </c>
      <c r="K194" s="7">
        <v>2653</v>
      </c>
      <c r="L194" s="7">
        <v>2034</v>
      </c>
      <c r="M194" s="7">
        <v>145</v>
      </c>
      <c r="N194" s="7">
        <v>118</v>
      </c>
      <c r="O194" s="7">
        <v>15</v>
      </c>
      <c r="P194" s="7">
        <v>2566</v>
      </c>
      <c r="Q194" s="22">
        <f t="shared" ref="Q194:Q225" si="29">SUM(L194/J194)</f>
        <v>0.30458221024258758</v>
      </c>
      <c r="R194" s="22">
        <f t="shared" ref="R194:R225" si="30">SUM(P194/J194)</f>
        <v>0.38424678047319555</v>
      </c>
      <c r="S194" s="22" t="e">
        <f t="shared" ref="S194:S225" si="31">IF(R194=MAX($R$2:$R$225),R194,NA())</f>
        <v>#N/A</v>
      </c>
      <c r="T194" s="22" t="e">
        <f t="shared" ref="T194:T225" si="32">IF(R194=_xlfn.MINIFS($R$2:$R$225,$R$2:$R$225,"&lt;&gt;0"),R194,NA())</f>
        <v>#N/A</v>
      </c>
      <c r="U194" s="22">
        <f t="shared" ref="U194:U225" si="33">SUM(O194/J194)</f>
        <v>2.2461814914645105E-3</v>
      </c>
      <c r="V194" s="23">
        <f t="shared" ref="V194:V225" si="34">SUM(N194/L194)</f>
        <v>5.801376597836775E-2</v>
      </c>
      <c r="W194" s="24">
        <f t="shared" ref="W194:W225" si="35">SUM(G194/F194)</f>
        <v>4.6206588165151287E-3</v>
      </c>
      <c r="X194" s="24">
        <f t="shared" ref="X194:X225" si="36">SUM(N194/J194)</f>
        <v>1.766996106618748E-2</v>
      </c>
      <c r="Y194" s="23">
        <f t="shared" ref="Y194:Y225" si="37">SUM(J194/F194)</f>
        <v>0.99537934118348492</v>
      </c>
    </row>
    <row r="195" spans="1:25">
      <c r="A195">
        <v>194</v>
      </c>
      <c r="B195" t="s">
        <v>1058</v>
      </c>
      <c r="C195" t="s">
        <v>589</v>
      </c>
      <c r="D195" s="4">
        <v>45618.767361111109</v>
      </c>
      <c r="E195" s="10" t="s">
        <v>897</v>
      </c>
      <c r="F195" s="7">
        <v>6671</v>
      </c>
      <c r="G195" s="7">
        <v>3</v>
      </c>
      <c r="H195" s="7">
        <v>1</v>
      </c>
      <c r="I195" s="7">
        <v>2</v>
      </c>
      <c r="J195" s="7">
        <v>6668</v>
      </c>
      <c r="K195" s="7">
        <v>2307</v>
      </c>
      <c r="L195" s="7">
        <v>1689</v>
      </c>
      <c r="M195" s="7">
        <v>14357</v>
      </c>
      <c r="N195" s="7">
        <v>1193</v>
      </c>
      <c r="O195" s="7">
        <v>6</v>
      </c>
      <c r="P195" s="7">
        <v>2528</v>
      </c>
      <c r="Q195" s="22">
        <f t="shared" si="29"/>
        <v>0.25329934013197358</v>
      </c>
      <c r="R195" s="22">
        <f t="shared" si="30"/>
        <v>0.37912417516496699</v>
      </c>
      <c r="S195" s="22" t="e">
        <f t="shared" si="31"/>
        <v>#N/A</v>
      </c>
      <c r="T195" s="22" t="e">
        <f t="shared" si="32"/>
        <v>#N/A</v>
      </c>
      <c r="U195" s="22">
        <f t="shared" si="33"/>
        <v>8.9982003599280147E-4</v>
      </c>
      <c r="V195" s="23">
        <f t="shared" si="34"/>
        <v>0.70633510953226764</v>
      </c>
      <c r="W195" s="24">
        <f t="shared" si="35"/>
        <v>4.4970769000149901E-4</v>
      </c>
      <c r="X195" s="24">
        <f t="shared" si="36"/>
        <v>0.17891421715656869</v>
      </c>
      <c r="Y195" s="23">
        <f t="shared" si="37"/>
        <v>0.99955029230999848</v>
      </c>
    </row>
    <row r="196" spans="1:25">
      <c r="A196">
        <v>195</v>
      </c>
      <c r="B196" t="s">
        <v>967</v>
      </c>
      <c r="C196" t="s">
        <v>549</v>
      </c>
      <c r="D196" s="4">
        <v>45619.6875</v>
      </c>
      <c r="E196" s="10" t="s">
        <v>799</v>
      </c>
      <c r="F196" s="7">
        <v>10174</v>
      </c>
      <c r="G196" s="7">
        <v>23</v>
      </c>
      <c r="H196" s="7">
        <v>9</v>
      </c>
      <c r="I196" s="7">
        <v>14</v>
      </c>
      <c r="J196" s="7">
        <v>10151</v>
      </c>
      <c r="K196" s="7">
        <v>3313</v>
      </c>
      <c r="L196" s="7">
        <v>2362</v>
      </c>
      <c r="M196" s="7">
        <v>5649</v>
      </c>
      <c r="N196" s="7">
        <v>1582</v>
      </c>
      <c r="O196" s="7">
        <v>7</v>
      </c>
      <c r="P196" s="7">
        <v>4563</v>
      </c>
      <c r="Q196" s="22">
        <f t="shared" si="29"/>
        <v>0.2326864348340065</v>
      </c>
      <c r="R196" s="22">
        <f t="shared" si="30"/>
        <v>0.44951236331395922</v>
      </c>
      <c r="S196" s="22" t="e">
        <f t="shared" si="31"/>
        <v>#N/A</v>
      </c>
      <c r="T196" s="22" t="e">
        <f t="shared" si="32"/>
        <v>#N/A</v>
      </c>
      <c r="U196" s="22">
        <f t="shared" si="33"/>
        <v>6.8958723278494732E-4</v>
      </c>
      <c r="V196" s="23">
        <f t="shared" si="34"/>
        <v>0.66977138018628279</v>
      </c>
      <c r="W196" s="24">
        <f t="shared" si="35"/>
        <v>2.2606644387654804E-3</v>
      </c>
      <c r="X196" s="24">
        <f t="shared" si="36"/>
        <v>0.15584671460939808</v>
      </c>
      <c r="Y196" s="23">
        <f t="shared" si="37"/>
        <v>0.99773933556123451</v>
      </c>
    </row>
    <row r="197" spans="1:25">
      <c r="A197">
        <v>196</v>
      </c>
      <c r="B197" t="s">
        <v>1058</v>
      </c>
      <c r="C197" t="s">
        <v>587</v>
      </c>
      <c r="D197" s="4">
        <v>45619.708333333336</v>
      </c>
      <c r="E197" s="10" t="s">
        <v>812</v>
      </c>
      <c r="F197" s="7">
        <v>84</v>
      </c>
      <c r="G197" s="7">
        <v>4</v>
      </c>
      <c r="H197" s="7">
        <v>2</v>
      </c>
      <c r="I197" s="7">
        <v>2</v>
      </c>
      <c r="J197" s="7">
        <v>80</v>
      </c>
      <c r="K197" s="7">
        <v>93</v>
      </c>
      <c r="L197" s="7">
        <v>45</v>
      </c>
      <c r="M197" s="7">
        <v>7</v>
      </c>
      <c r="N197" s="7">
        <v>7</v>
      </c>
      <c r="O197" s="7">
        <v>0</v>
      </c>
      <c r="P197" s="7">
        <v>13</v>
      </c>
      <c r="Q197" s="22">
        <f t="shared" si="29"/>
        <v>0.5625</v>
      </c>
      <c r="R197" s="22">
        <f t="shared" si="30"/>
        <v>0.16250000000000001</v>
      </c>
      <c r="S197" s="22" t="e">
        <f t="shared" si="31"/>
        <v>#N/A</v>
      </c>
      <c r="T197" s="22" t="e">
        <f t="shared" si="32"/>
        <v>#N/A</v>
      </c>
      <c r="U197" s="22">
        <f t="shared" si="33"/>
        <v>0</v>
      </c>
      <c r="V197" s="23">
        <f t="shared" si="34"/>
        <v>0.15555555555555556</v>
      </c>
      <c r="W197" s="24">
        <f t="shared" si="35"/>
        <v>4.7619047619047616E-2</v>
      </c>
      <c r="X197" s="24">
        <f t="shared" si="36"/>
        <v>8.7499999999999994E-2</v>
      </c>
      <c r="Y197" s="23">
        <f t="shared" si="37"/>
        <v>0.95238095238095233</v>
      </c>
    </row>
    <row r="198" spans="1:25">
      <c r="A198">
        <v>197</v>
      </c>
      <c r="B198" t="s">
        <v>1058</v>
      </c>
      <c r="C198" t="s">
        <v>586</v>
      </c>
      <c r="D198" s="4">
        <v>45619.729166666664</v>
      </c>
      <c r="E198" s="10" t="s">
        <v>892</v>
      </c>
      <c r="F198" s="7">
        <v>417</v>
      </c>
      <c r="G198" s="7">
        <v>0</v>
      </c>
      <c r="H198" s="7">
        <v>0</v>
      </c>
      <c r="I198" s="7">
        <v>0</v>
      </c>
      <c r="J198" s="7">
        <v>417</v>
      </c>
      <c r="K198" s="7">
        <v>383</v>
      </c>
      <c r="L198" s="7">
        <v>255</v>
      </c>
      <c r="M198" s="7">
        <v>5</v>
      </c>
      <c r="N198" s="7">
        <v>5</v>
      </c>
      <c r="O198" s="7">
        <v>4</v>
      </c>
      <c r="P198" s="7">
        <v>74</v>
      </c>
      <c r="Q198" s="22">
        <f t="shared" si="29"/>
        <v>0.61151079136690645</v>
      </c>
      <c r="R198" s="22">
        <f t="shared" si="30"/>
        <v>0.17745803357314149</v>
      </c>
      <c r="S198" s="22" t="e">
        <f t="shared" si="31"/>
        <v>#N/A</v>
      </c>
      <c r="T198" s="22" t="e">
        <f t="shared" si="32"/>
        <v>#N/A</v>
      </c>
      <c r="U198" s="22">
        <f t="shared" si="33"/>
        <v>9.5923261390887284E-3</v>
      </c>
      <c r="V198" s="23">
        <f t="shared" si="34"/>
        <v>1.9607843137254902E-2</v>
      </c>
      <c r="W198" s="24">
        <f t="shared" si="35"/>
        <v>0</v>
      </c>
      <c r="X198" s="24">
        <f t="shared" si="36"/>
        <v>1.1990407673860911E-2</v>
      </c>
      <c r="Y198" s="23">
        <f t="shared" si="37"/>
        <v>1</v>
      </c>
    </row>
    <row r="199" spans="1:25">
      <c r="A199">
        <v>199</v>
      </c>
      <c r="B199" t="s">
        <v>697</v>
      </c>
      <c r="C199" t="s">
        <v>721</v>
      </c>
      <c r="D199" s="4">
        <v>45620.511053240742</v>
      </c>
      <c r="E199" s="10" t="s">
        <v>898</v>
      </c>
      <c r="F199" s="7">
        <v>75</v>
      </c>
      <c r="G199" s="7">
        <v>2</v>
      </c>
      <c r="H199" s="7">
        <v>0</v>
      </c>
      <c r="I199" s="7">
        <v>2</v>
      </c>
      <c r="J199" s="7">
        <v>73</v>
      </c>
      <c r="K199" s="7">
        <v>403</v>
      </c>
      <c r="L199" s="7">
        <v>59</v>
      </c>
      <c r="M199" s="7">
        <v>168</v>
      </c>
      <c r="N199" s="7">
        <v>47</v>
      </c>
      <c r="O199" s="7">
        <v>0</v>
      </c>
      <c r="P199" s="7">
        <v>65</v>
      </c>
      <c r="Q199" s="22">
        <f t="shared" si="29"/>
        <v>0.80821917808219179</v>
      </c>
      <c r="R199" s="22">
        <f t="shared" si="30"/>
        <v>0.8904109589041096</v>
      </c>
      <c r="S199" s="22" t="e">
        <f t="shared" si="31"/>
        <v>#N/A</v>
      </c>
      <c r="T199" s="22" t="e">
        <f t="shared" si="32"/>
        <v>#N/A</v>
      </c>
      <c r="U199" s="22">
        <f t="shared" si="33"/>
        <v>0</v>
      </c>
      <c r="V199" s="23">
        <f t="shared" si="34"/>
        <v>0.79661016949152541</v>
      </c>
      <c r="W199" s="24">
        <f t="shared" si="35"/>
        <v>2.6666666666666668E-2</v>
      </c>
      <c r="X199" s="24">
        <f t="shared" si="36"/>
        <v>0.64383561643835618</v>
      </c>
      <c r="Y199" s="23">
        <f t="shared" si="37"/>
        <v>0.97333333333333338</v>
      </c>
    </row>
    <row r="200" spans="1:25">
      <c r="A200">
        <v>200</v>
      </c>
      <c r="B200" t="s">
        <v>697</v>
      </c>
      <c r="C200" t="s">
        <v>722</v>
      </c>
      <c r="D200" s="4">
        <v>45620.516006944446</v>
      </c>
      <c r="E200" s="10" t="s">
        <v>899</v>
      </c>
      <c r="F200" s="7">
        <v>31</v>
      </c>
      <c r="G200" s="7">
        <v>0</v>
      </c>
      <c r="H200" s="7">
        <v>0</v>
      </c>
      <c r="I200" s="7">
        <v>0</v>
      </c>
      <c r="J200" s="7">
        <v>31</v>
      </c>
      <c r="K200" s="7">
        <v>177</v>
      </c>
      <c r="L200" s="7">
        <v>23</v>
      </c>
      <c r="M200" s="7">
        <v>57</v>
      </c>
      <c r="N200" s="7">
        <v>14</v>
      </c>
      <c r="O200" s="7">
        <v>0</v>
      </c>
      <c r="P200" s="7">
        <v>21</v>
      </c>
      <c r="Q200" s="22">
        <f t="shared" si="29"/>
        <v>0.74193548387096775</v>
      </c>
      <c r="R200" s="22">
        <f t="shared" si="30"/>
        <v>0.67741935483870963</v>
      </c>
      <c r="S200" s="22" t="e">
        <f t="shared" si="31"/>
        <v>#N/A</v>
      </c>
      <c r="T200" s="22" t="e">
        <f t="shared" si="32"/>
        <v>#N/A</v>
      </c>
      <c r="U200" s="22">
        <f t="shared" si="33"/>
        <v>0</v>
      </c>
      <c r="V200" s="23">
        <f t="shared" si="34"/>
        <v>0.60869565217391308</v>
      </c>
      <c r="W200" s="24">
        <f t="shared" si="35"/>
        <v>0</v>
      </c>
      <c r="X200" s="24">
        <f t="shared" si="36"/>
        <v>0.45161290322580644</v>
      </c>
      <c r="Y200" s="23">
        <f t="shared" si="37"/>
        <v>1</v>
      </c>
    </row>
    <row r="201" spans="1:25">
      <c r="A201">
        <v>201</v>
      </c>
      <c r="B201" t="s">
        <v>697</v>
      </c>
      <c r="C201" t="s">
        <v>723</v>
      </c>
      <c r="D201" s="4">
        <v>45620.518125000002</v>
      </c>
      <c r="E201" s="10" t="s">
        <v>900</v>
      </c>
      <c r="F201" s="7">
        <v>30</v>
      </c>
      <c r="G201" s="7">
        <v>0</v>
      </c>
      <c r="H201" s="7">
        <v>0</v>
      </c>
      <c r="I201" s="7">
        <v>0</v>
      </c>
      <c r="J201" s="7">
        <v>30</v>
      </c>
      <c r="K201" s="7">
        <v>102</v>
      </c>
      <c r="L201" s="7">
        <v>19</v>
      </c>
      <c r="M201" s="7">
        <v>38</v>
      </c>
      <c r="N201" s="7">
        <v>14</v>
      </c>
      <c r="O201" s="7">
        <v>0</v>
      </c>
      <c r="P201" s="7">
        <v>20</v>
      </c>
      <c r="Q201" s="22">
        <f t="shared" si="29"/>
        <v>0.6333333333333333</v>
      </c>
      <c r="R201" s="22">
        <f t="shared" si="30"/>
        <v>0.66666666666666663</v>
      </c>
      <c r="S201" s="22" t="e">
        <f t="shared" si="31"/>
        <v>#N/A</v>
      </c>
      <c r="T201" s="22" t="e">
        <f t="shared" si="32"/>
        <v>#N/A</v>
      </c>
      <c r="U201" s="22">
        <f t="shared" si="33"/>
        <v>0</v>
      </c>
      <c r="V201" s="23">
        <f t="shared" si="34"/>
        <v>0.73684210526315785</v>
      </c>
      <c r="W201" s="24">
        <f t="shared" si="35"/>
        <v>0</v>
      </c>
      <c r="X201" s="24">
        <f t="shared" si="36"/>
        <v>0.46666666666666667</v>
      </c>
      <c r="Y201" s="23">
        <f t="shared" si="37"/>
        <v>1</v>
      </c>
    </row>
    <row r="202" spans="1:25">
      <c r="A202">
        <v>202</v>
      </c>
      <c r="B202" t="s">
        <v>966</v>
      </c>
      <c r="C202" t="s">
        <v>538</v>
      </c>
      <c r="D202" s="4">
        <v>45621.711111111108</v>
      </c>
      <c r="E202" s="10" t="s">
        <v>816</v>
      </c>
      <c r="F202" s="7">
        <v>687</v>
      </c>
      <c r="G202" s="7">
        <v>14</v>
      </c>
      <c r="H202" s="7">
        <v>0</v>
      </c>
      <c r="I202" s="7">
        <v>14</v>
      </c>
      <c r="J202" s="7">
        <v>673</v>
      </c>
      <c r="K202" s="7">
        <v>127</v>
      </c>
      <c r="L202" s="7">
        <v>66</v>
      </c>
      <c r="M202" s="7">
        <v>83</v>
      </c>
      <c r="N202" s="7">
        <v>28</v>
      </c>
      <c r="O202" s="7">
        <v>0</v>
      </c>
      <c r="P202" s="7">
        <v>244</v>
      </c>
      <c r="Q202" s="22">
        <f t="shared" si="29"/>
        <v>9.8068350668647844E-2</v>
      </c>
      <c r="R202" s="22">
        <f t="shared" si="30"/>
        <v>0.36255572065378899</v>
      </c>
      <c r="S202" s="22" t="e">
        <f t="shared" si="31"/>
        <v>#N/A</v>
      </c>
      <c r="T202" s="22" t="e">
        <f t="shared" si="32"/>
        <v>#N/A</v>
      </c>
      <c r="U202" s="22">
        <f t="shared" si="33"/>
        <v>0</v>
      </c>
      <c r="V202" s="23">
        <f t="shared" si="34"/>
        <v>0.42424242424242425</v>
      </c>
      <c r="W202" s="24">
        <f t="shared" si="35"/>
        <v>2.0378457059679767E-2</v>
      </c>
      <c r="X202" s="24">
        <f t="shared" si="36"/>
        <v>4.1604754829123326E-2</v>
      </c>
      <c r="Y202" s="23">
        <f t="shared" si="37"/>
        <v>0.97962154294032022</v>
      </c>
    </row>
    <row r="203" spans="1:25">
      <c r="A203">
        <v>203</v>
      </c>
      <c r="B203" t="s">
        <v>1058</v>
      </c>
      <c r="C203" t="s">
        <v>585</v>
      </c>
      <c r="D203" s="4">
        <v>45625.708333333336</v>
      </c>
      <c r="E203" s="10" t="s">
        <v>812</v>
      </c>
      <c r="F203" s="7">
        <v>6599</v>
      </c>
      <c r="G203" s="7">
        <v>49</v>
      </c>
      <c r="H203" s="7">
        <v>4</v>
      </c>
      <c r="I203" s="7">
        <v>45</v>
      </c>
      <c r="J203" s="7">
        <v>6550</v>
      </c>
      <c r="K203" s="7">
        <v>2010</v>
      </c>
      <c r="L203" s="7">
        <v>1574</v>
      </c>
      <c r="M203" s="7">
        <v>16799</v>
      </c>
      <c r="N203" s="7">
        <v>1148</v>
      </c>
      <c r="O203" s="7">
        <v>13</v>
      </c>
      <c r="P203" s="7">
        <v>2456</v>
      </c>
      <c r="Q203" s="22">
        <f t="shared" si="29"/>
        <v>0.24030534351145039</v>
      </c>
      <c r="R203" s="22">
        <f t="shared" si="30"/>
        <v>0.3749618320610687</v>
      </c>
      <c r="S203" s="22" t="e">
        <f t="shared" si="31"/>
        <v>#N/A</v>
      </c>
      <c r="T203" s="22" t="e">
        <f t="shared" si="32"/>
        <v>#N/A</v>
      </c>
      <c r="U203" s="22">
        <f t="shared" si="33"/>
        <v>1.984732824427481E-3</v>
      </c>
      <c r="V203" s="23">
        <f t="shared" si="34"/>
        <v>0.72935196950444725</v>
      </c>
      <c r="W203" s="24">
        <f t="shared" si="35"/>
        <v>7.4253674799212004E-3</v>
      </c>
      <c r="X203" s="24">
        <f t="shared" si="36"/>
        <v>0.17526717557251908</v>
      </c>
      <c r="Y203" s="23">
        <f t="shared" si="37"/>
        <v>0.99257463252007883</v>
      </c>
    </row>
    <row r="204" spans="1:25">
      <c r="A204">
        <v>204</v>
      </c>
      <c r="B204" t="s">
        <v>1049</v>
      </c>
      <c r="C204" t="s">
        <v>724</v>
      </c>
      <c r="D204" s="4">
        <v>45626.6875</v>
      </c>
      <c r="E204" s="10" t="s">
        <v>799</v>
      </c>
      <c r="F204" s="7">
        <v>315</v>
      </c>
      <c r="G204" s="7">
        <v>3</v>
      </c>
      <c r="H204" s="7">
        <v>0</v>
      </c>
      <c r="I204" s="7">
        <v>3</v>
      </c>
      <c r="J204" s="7">
        <v>312</v>
      </c>
      <c r="K204" s="7">
        <v>267</v>
      </c>
      <c r="L204" s="7">
        <v>122</v>
      </c>
      <c r="M204" s="7">
        <v>43</v>
      </c>
      <c r="N204" s="7">
        <v>29</v>
      </c>
      <c r="O204" s="7">
        <v>0</v>
      </c>
      <c r="P204" s="7">
        <v>172</v>
      </c>
      <c r="Q204" s="22">
        <f t="shared" si="29"/>
        <v>0.39102564102564102</v>
      </c>
      <c r="R204" s="22">
        <f t="shared" si="30"/>
        <v>0.55128205128205132</v>
      </c>
      <c r="S204" s="22" t="e">
        <f t="shared" si="31"/>
        <v>#N/A</v>
      </c>
      <c r="T204" s="22" t="e">
        <f t="shared" si="32"/>
        <v>#N/A</v>
      </c>
      <c r="U204" s="22">
        <f t="shared" si="33"/>
        <v>0</v>
      </c>
      <c r="V204" s="23">
        <f t="shared" si="34"/>
        <v>0.23770491803278687</v>
      </c>
      <c r="W204" s="24">
        <f t="shared" si="35"/>
        <v>9.5238095238095247E-3</v>
      </c>
      <c r="X204" s="24">
        <f t="shared" si="36"/>
        <v>9.2948717948717952E-2</v>
      </c>
      <c r="Y204" s="23">
        <f t="shared" si="37"/>
        <v>0.99047619047619051</v>
      </c>
    </row>
    <row r="205" spans="1:25">
      <c r="A205">
        <v>205</v>
      </c>
      <c r="B205" t="s">
        <v>1058</v>
      </c>
      <c r="C205" t="s">
        <v>584</v>
      </c>
      <c r="D205" s="4">
        <v>45626.697916666664</v>
      </c>
      <c r="E205" s="10" t="s">
        <v>876</v>
      </c>
      <c r="F205" s="7">
        <v>127</v>
      </c>
      <c r="G205" s="7">
        <v>4</v>
      </c>
      <c r="H205" s="7">
        <v>2</v>
      </c>
      <c r="I205" s="7">
        <v>2</v>
      </c>
      <c r="J205" s="7">
        <v>123</v>
      </c>
      <c r="K205" s="7">
        <v>55</v>
      </c>
      <c r="L205" s="7">
        <v>36</v>
      </c>
      <c r="M205" s="7">
        <v>365</v>
      </c>
      <c r="N205" s="7">
        <v>23</v>
      </c>
      <c r="O205" s="7">
        <v>0</v>
      </c>
      <c r="P205" s="7">
        <v>71</v>
      </c>
      <c r="Q205" s="22">
        <f t="shared" si="29"/>
        <v>0.29268292682926828</v>
      </c>
      <c r="R205" s="22">
        <f t="shared" si="30"/>
        <v>0.57723577235772361</v>
      </c>
      <c r="S205" s="22" t="e">
        <f t="shared" si="31"/>
        <v>#N/A</v>
      </c>
      <c r="T205" s="22" t="e">
        <f t="shared" si="32"/>
        <v>#N/A</v>
      </c>
      <c r="U205" s="22">
        <f t="shared" si="33"/>
        <v>0</v>
      </c>
      <c r="V205" s="23">
        <f t="shared" si="34"/>
        <v>0.63888888888888884</v>
      </c>
      <c r="W205" s="24">
        <f t="shared" si="35"/>
        <v>3.1496062992125984E-2</v>
      </c>
      <c r="X205" s="24">
        <f t="shared" si="36"/>
        <v>0.18699186991869918</v>
      </c>
      <c r="Y205" s="23">
        <f t="shared" si="37"/>
        <v>0.96850393700787396</v>
      </c>
    </row>
    <row r="206" spans="1:25">
      <c r="A206">
        <v>206</v>
      </c>
      <c r="B206" t="s">
        <v>1052</v>
      </c>
      <c r="C206" t="s">
        <v>560</v>
      </c>
      <c r="D206" s="4">
        <v>45627.656944444447</v>
      </c>
      <c r="E206" s="10" t="s">
        <v>901</v>
      </c>
      <c r="F206" s="7">
        <v>861</v>
      </c>
      <c r="G206" s="7">
        <v>10</v>
      </c>
      <c r="H206" s="7">
        <v>3</v>
      </c>
      <c r="I206" s="7">
        <v>7</v>
      </c>
      <c r="J206" s="7">
        <v>851</v>
      </c>
      <c r="K206" s="7">
        <v>501</v>
      </c>
      <c r="L206" s="7">
        <v>276</v>
      </c>
      <c r="M206" s="7">
        <v>494</v>
      </c>
      <c r="N206" s="7">
        <v>145</v>
      </c>
      <c r="O206" s="7">
        <v>2</v>
      </c>
      <c r="P206" s="7">
        <v>318</v>
      </c>
      <c r="Q206" s="22">
        <f t="shared" si="29"/>
        <v>0.32432432432432434</v>
      </c>
      <c r="R206" s="22">
        <f t="shared" si="30"/>
        <v>0.37367802585193888</v>
      </c>
      <c r="S206" s="22" t="e">
        <f t="shared" si="31"/>
        <v>#N/A</v>
      </c>
      <c r="T206" s="22" t="e">
        <f t="shared" si="32"/>
        <v>#N/A</v>
      </c>
      <c r="U206" s="22">
        <f t="shared" si="33"/>
        <v>2.3501762632197414E-3</v>
      </c>
      <c r="V206" s="23">
        <f t="shared" si="34"/>
        <v>0.52536231884057971</v>
      </c>
      <c r="W206" s="24">
        <f t="shared" si="35"/>
        <v>1.1614401858304297E-2</v>
      </c>
      <c r="X206" s="24">
        <f t="shared" si="36"/>
        <v>0.17038777908343125</v>
      </c>
      <c r="Y206" s="23">
        <f t="shared" si="37"/>
        <v>0.98838559814169569</v>
      </c>
    </row>
    <row r="207" spans="1:25">
      <c r="A207">
        <v>207</v>
      </c>
      <c r="B207" t="s">
        <v>1058</v>
      </c>
      <c r="C207" t="s">
        <v>583</v>
      </c>
      <c r="D207" s="4">
        <v>45627.6875</v>
      </c>
      <c r="E207" s="10" t="s">
        <v>799</v>
      </c>
      <c r="F207" s="7">
        <v>643</v>
      </c>
      <c r="G207" s="7">
        <v>2</v>
      </c>
      <c r="H207" s="7">
        <v>0</v>
      </c>
      <c r="I207" s="7">
        <v>2</v>
      </c>
      <c r="J207" s="7">
        <v>641</v>
      </c>
      <c r="K207" s="7">
        <v>129</v>
      </c>
      <c r="L207" s="7">
        <v>108</v>
      </c>
      <c r="M207" s="7">
        <v>782</v>
      </c>
      <c r="N207" s="7">
        <v>66</v>
      </c>
      <c r="O207" s="7">
        <v>0</v>
      </c>
      <c r="P207" s="7">
        <v>200</v>
      </c>
      <c r="Q207" s="22">
        <f t="shared" si="29"/>
        <v>0.16848673946957879</v>
      </c>
      <c r="R207" s="22">
        <f t="shared" si="30"/>
        <v>0.31201248049921998</v>
      </c>
      <c r="S207" s="22" t="e">
        <f t="shared" si="31"/>
        <v>#N/A</v>
      </c>
      <c r="T207" s="22" t="e">
        <f t="shared" si="32"/>
        <v>#N/A</v>
      </c>
      <c r="U207" s="22">
        <f t="shared" si="33"/>
        <v>0</v>
      </c>
      <c r="V207" s="23">
        <f t="shared" si="34"/>
        <v>0.61111111111111116</v>
      </c>
      <c r="W207" s="24">
        <f t="shared" si="35"/>
        <v>3.1104199066874028E-3</v>
      </c>
      <c r="X207" s="24">
        <f t="shared" si="36"/>
        <v>0.10296411856474259</v>
      </c>
      <c r="Y207" s="23">
        <f t="shared" si="37"/>
        <v>0.99688958009331263</v>
      </c>
    </row>
    <row r="208" spans="1:25">
      <c r="A208">
        <v>208</v>
      </c>
      <c r="B208" t="s">
        <v>1058</v>
      </c>
      <c r="C208" t="s">
        <v>582</v>
      </c>
      <c r="D208" s="4">
        <v>45627.6875</v>
      </c>
      <c r="E208" s="10" t="s">
        <v>799</v>
      </c>
      <c r="F208" s="7">
        <v>644</v>
      </c>
      <c r="G208" s="7">
        <v>0</v>
      </c>
      <c r="H208" s="7">
        <v>0</v>
      </c>
      <c r="I208" s="7">
        <v>0</v>
      </c>
      <c r="J208" s="7">
        <v>644</v>
      </c>
      <c r="K208" s="7">
        <v>156</v>
      </c>
      <c r="L208" s="7">
        <v>128</v>
      </c>
      <c r="M208" s="7">
        <v>1109</v>
      </c>
      <c r="N208" s="7">
        <v>76</v>
      </c>
      <c r="O208" s="7">
        <v>0</v>
      </c>
      <c r="P208" s="7">
        <v>201</v>
      </c>
      <c r="Q208" s="22">
        <f t="shared" si="29"/>
        <v>0.19875776397515527</v>
      </c>
      <c r="R208" s="22">
        <f t="shared" si="30"/>
        <v>0.31211180124223603</v>
      </c>
      <c r="S208" s="22" t="e">
        <f t="shared" si="31"/>
        <v>#N/A</v>
      </c>
      <c r="T208" s="22" t="e">
        <f t="shared" si="32"/>
        <v>#N/A</v>
      </c>
      <c r="U208" s="22">
        <f t="shared" si="33"/>
        <v>0</v>
      </c>
      <c r="V208" s="23">
        <f t="shared" si="34"/>
        <v>0.59375</v>
      </c>
      <c r="W208" s="24">
        <f t="shared" si="35"/>
        <v>0</v>
      </c>
      <c r="X208" s="24">
        <f t="shared" si="36"/>
        <v>0.11801242236024845</v>
      </c>
      <c r="Y208" s="23">
        <f t="shared" si="37"/>
        <v>1</v>
      </c>
    </row>
    <row r="209" spans="1:25">
      <c r="A209">
        <v>209</v>
      </c>
      <c r="B209" t="s">
        <v>1058</v>
      </c>
      <c r="C209" t="s">
        <v>582</v>
      </c>
      <c r="D209" s="4">
        <v>45627.772268518522</v>
      </c>
      <c r="E209" s="10" t="s">
        <v>902</v>
      </c>
      <c r="F209" s="7">
        <v>3858</v>
      </c>
      <c r="G209" s="7">
        <v>6</v>
      </c>
      <c r="H209" s="7">
        <v>3</v>
      </c>
      <c r="I209" s="7">
        <v>3</v>
      </c>
      <c r="J209" s="7">
        <v>3852</v>
      </c>
      <c r="K209" s="7">
        <v>696</v>
      </c>
      <c r="L209" s="7">
        <v>573</v>
      </c>
      <c r="M209" s="7">
        <v>5397</v>
      </c>
      <c r="N209" s="7">
        <v>392</v>
      </c>
      <c r="O209" s="7">
        <v>4</v>
      </c>
      <c r="P209" s="7">
        <v>2215</v>
      </c>
      <c r="Q209" s="22">
        <f t="shared" si="29"/>
        <v>0.14875389408099687</v>
      </c>
      <c r="R209" s="22">
        <f t="shared" si="30"/>
        <v>0.57502596053997923</v>
      </c>
      <c r="S209" s="22" t="e">
        <f t="shared" si="31"/>
        <v>#N/A</v>
      </c>
      <c r="T209" s="22" t="e">
        <f t="shared" si="32"/>
        <v>#N/A</v>
      </c>
      <c r="U209" s="22">
        <f t="shared" si="33"/>
        <v>1.0384215991692627E-3</v>
      </c>
      <c r="V209" s="23">
        <f t="shared" si="34"/>
        <v>0.68411867364746948</v>
      </c>
      <c r="W209" s="24">
        <f t="shared" si="35"/>
        <v>1.5552099533437014E-3</v>
      </c>
      <c r="X209" s="24">
        <f t="shared" si="36"/>
        <v>0.10176531671858775</v>
      </c>
      <c r="Y209" s="23">
        <f t="shared" si="37"/>
        <v>0.99844479004665632</v>
      </c>
    </row>
    <row r="210" spans="1:25">
      <c r="A210">
        <v>210</v>
      </c>
      <c r="B210" t="s">
        <v>1055</v>
      </c>
      <c r="C210" t="s">
        <v>598</v>
      </c>
      <c r="D210" s="4">
        <v>45631.734618055554</v>
      </c>
      <c r="E210" s="10" t="s">
        <v>903</v>
      </c>
      <c r="F210" s="7">
        <v>4295</v>
      </c>
      <c r="G210" s="7">
        <v>38</v>
      </c>
      <c r="H210" s="7">
        <v>10</v>
      </c>
      <c r="I210" s="7">
        <v>28</v>
      </c>
      <c r="J210" s="7">
        <v>4257</v>
      </c>
      <c r="K210" s="7">
        <v>1641</v>
      </c>
      <c r="L210" s="7">
        <v>1080</v>
      </c>
      <c r="M210" s="7">
        <v>156</v>
      </c>
      <c r="N210" s="7">
        <v>96</v>
      </c>
      <c r="O210" s="7">
        <v>8</v>
      </c>
      <c r="P210" s="7">
        <v>2652</v>
      </c>
      <c r="Q210" s="22">
        <f t="shared" si="29"/>
        <v>0.2536997885835095</v>
      </c>
      <c r="R210" s="22">
        <f t="shared" si="30"/>
        <v>0.62297392529950668</v>
      </c>
      <c r="S210" s="22" t="e">
        <f t="shared" si="31"/>
        <v>#N/A</v>
      </c>
      <c r="T210" s="22" t="e">
        <f t="shared" si="32"/>
        <v>#N/A</v>
      </c>
      <c r="U210" s="22">
        <f t="shared" si="33"/>
        <v>1.8792576932111817E-3</v>
      </c>
      <c r="V210" s="23">
        <f t="shared" si="34"/>
        <v>8.8888888888888892E-2</v>
      </c>
      <c r="W210" s="24">
        <f t="shared" si="35"/>
        <v>8.8474970896391149E-3</v>
      </c>
      <c r="X210" s="24">
        <f t="shared" si="36"/>
        <v>2.255109231853418E-2</v>
      </c>
      <c r="Y210" s="23">
        <f t="shared" si="37"/>
        <v>0.99115250291036083</v>
      </c>
    </row>
    <row r="211" spans="1:25">
      <c r="A211">
        <v>211</v>
      </c>
      <c r="B211" t="s">
        <v>1058</v>
      </c>
      <c r="C211" t="s">
        <v>581</v>
      </c>
      <c r="D211" s="4">
        <v>45633.708333333336</v>
      </c>
      <c r="E211" s="10" t="s">
        <v>812</v>
      </c>
      <c r="F211" s="7">
        <v>6359</v>
      </c>
      <c r="G211" s="7">
        <v>27</v>
      </c>
      <c r="H211" s="7">
        <v>7</v>
      </c>
      <c r="I211" s="7">
        <v>20</v>
      </c>
      <c r="J211" s="7">
        <v>6332</v>
      </c>
      <c r="K211" s="7">
        <v>2595</v>
      </c>
      <c r="L211" s="7">
        <v>1977</v>
      </c>
      <c r="M211" s="7">
        <v>15778</v>
      </c>
      <c r="N211" s="7">
        <v>1334</v>
      </c>
      <c r="O211" s="7">
        <v>22</v>
      </c>
      <c r="P211" s="7">
        <v>2216</v>
      </c>
      <c r="Q211" s="22">
        <f t="shared" si="29"/>
        <v>0.31222362602653192</v>
      </c>
      <c r="R211" s="22">
        <f t="shared" si="30"/>
        <v>0.34996841440303222</v>
      </c>
      <c r="S211" s="22" t="e">
        <f t="shared" si="31"/>
        <v>#N/A</v>
      </c>
      <c r="T211" s="22" t="e">
        <f t="shared" si="32"/>
        <v>#N/A</v>
      </c>
      <c r="U211" s="22">
        <f t="shared" si="33"/>
        <v>3.4744156664560958E-3</v>
      </c>
      <c r="V211" s="23">
        <f t="shared" si="34"/>
        <v>0.67475973697521496</v>
      </c>
      <c r="W211" s="24">
        <f t="shared" si="35"/>
        <v>4.2459506211668498E-3</v>
      </c>
      <c r="X211" s="24">
        <f t="shared" si="36"/>
        <v>0.21067593177511054</v>
      </c>
      <c r="Y211" s="23">
        <f t="shared" si="37"/>
        <v>0.99575404937883316</v>
      </c>
    </row>
    <row r="212" spans="1:25">
      <c r="A212">
        <v>212</v>
      </c>
      <c r="B212" t="s">
        <v>967</v>
      </c>
      <c r="C212" t="s">
        <v>548</v>
      </c>
      <c r="D212" s="4">
        <v>45634.714259259257</v>
      </c>
      <c r="E212" s="10" t="s">
        <v>904</v>
      </c>
      <c r="F212" s="7">
        <v>10363</v>
      </c>
      <c r="G212" s="7">
        <v>29</v>
      </c>
      <c r="H212" s="7">
        <v>10</v>
      </c>
      <c r="I212" s="7">
        <v>19</v>
      </c>
      <c r="J212" s="7">
        <v>10334</v>
      </c>
      <c r="K212" s="7">
        <v>3419</v>
      </c>
      <c r="L212" s="7">
        <v>2481</v>
      </c>
      <c r="M212" s="7">
        <v>5927</v>
      </c>
      <c r="N212" s="7">
        <v>1631</v>
      </c>
      <c r="O212" s="7">
        <v>2</v>
      </c>
      <c r="P212" s="7">
        <v>5324</v>
      </c>
      <c r="Q212" s="22">
        <f t="shared" si="29"/>
        <v>0.24008128507838203</v>
      </c>
      <c r="R212" s="22">
        <f t="shared" si="30"/>
        <v>0.51519256822140502</v>
      </c>
      <c r="S212" s="22" t="e">
        <f t="shared" si="31"/>
        <v>#N/A</v>
      </c>
      <c r="T212" s="22" t="e">
        <f t="shared" si="32"/>
        <v>#N/A</v>
      </c>
      <c r="U212" s="22">
        <f t="shared" si="33"/>
        <v>1.9353590090961874E-4</v>
      </c>
      <c r="V212" s="23">
        <f t="shared" si="34"/>
        <v>0.65739621120515923</v>
      </c>
      <c r="W212" s="24">
        <f t="shared" si="35"/>
        <v>2.7984174466853229E-3</v>
      </c>
      <c r="X212" s="24">
        <f t="shared" si="36"/>
        <v>0.15782852719179408</v>
      </c>
      <c r="Y212" s="23">
        <f t="shared" si="37"/>
        <v>0.9972015825533147</v>
      </c>
    </row>
    <row r="213" spans="1:25">
      <c r="A213">
        <v>213</v>
      </c>
      <c r="B213" t="s">
        <v>1061</v>
      </c>
      <c r="C213" t="s">
        <v>725</v>
      </c>
      <c r="D213" s="4">
        <v>45638.701388888891</v>
      </c>
      <c r="E213" s="10" t="s">
        <v>905</v>
      </c>
      <c r="F213" s="7">
        <v>69</v>
      </c>
      <c r="G213" s="7">
        <v>3</v>
      </c>
      <c r="H213" s="7">
        <v>0</v>
      </c>
      <c r="I213" s="7">
        <v>3</v>
      </c>
      <c r="J213" s="7">
        <v>66</v>
      </c>
      <c r="K213" s="7">
        <v>38</v>
      </c>
      <c r="L213" s="7">
        <v>24</v>
      </c>
      <c r="M213" s="7">
        <v>5</v>
      </c>
      <c r="N213" s="7">
        <v>4</v>
      </c>
      <c r="O213" s="7">
        <v>0</v>
      </c>
      <c r="P213" s="7">
        <v>12</v>
      </c>
      <c r="Q213" s="22">
        <f t="shared" si="29"/>
        <v>0.36363636363636365</v>
      </c>
      <c r="R213" s="22">
        <f t="shared" si="30"/>
        <v>0.18181818181818182</v>
      </c>
      <c r="S213" s="22" t="e">
        <f t="shared" si="31"/>
        <v>#N/A</v>
      </c>
      <c r="T213" s="22" t="e">
        <f t="shared" si="32"/>
        <v>#N/A</v>
      </c>
      <c r="U213" s="22">
        <f t="shared" si="33"/>
        <v>0</v>
      </c>
      <c r="V213" s="23">
        <f t="shared" si="34"/>
        <v>0.16666666666666666</v>
      </c>
      <c r="W213" s="24">
        <f t="shared" si="35"/>
        <v>4.3478260869565216E-2</v>
      </c>
      <c r="X213" s="24">
        <f t="shared" si="36"/>
        <v>6.0606060606060608E-2</v>
      </c>
      <c r="Y213" s="23">
        <f t="shared" si="37"/>
        <v>0.95652173913043481</v>
      </c>
    </row>
    <row r="214" spans="1:25">
      <c r="A214">
        <v>214</v>
      </c>
      <c r="B214" t="s">
        <v>1058</v>
      </c>
      <c r="C214" t="s">
        <v>580</v>
      </c>
      <c r="D214" s="4">
        <v>45640.708333333336</v>
      </c>
      <c r="E214" s="10" t="s">
        <v>812</v>
      </c>
      <c r="F214" s="7">
        <v>6495</v>
      </c>
      <c r="G214" s="7">
        <v>17</v>
      </c>
      <c r="H214" s="7">
        <v>6</v>
      </c>
      <c r="I214" s="7">
        <v>11</v>
      </c>
      <c r="J214" s="7">
        <v>6478</v>
      </c>
      <c r="K214" s="7">
        <v>2205</v>
      </c>
      <c r="L214" s="7">
        <v>1700</v>
      </c>
      <c r="M214" s="7">
        <v>1624</v>
      </c>
      <c r="N214" s="7">
        <v>1164</v>
      </c>
      <c r="O214" s="7">
        <v>7</v>
      </c>
      <c r="P214" s="7">
        <v>2352</v>
      </c>
      <c r="Q214" s="22">
        <f t="shared" si="29"/>
        <v>0.26242667489966037</v>
      </c>
      <c r="R214" s="22">
        <f t="shared" si="30"/>
        <v>0.36307502315529483</v>
      </c>
      <c r="S214" s="22" t="e">
        <f t="shared" si="31"/>
        <v>#N/A</v>
      </c>
      <c r="T214" s="22" t="e">
        <f t="shared" si="32"/>
        <v>#N/A</v>
      </c>
      <c r="U214" s="22">
        <f t="shared" si="33"/>
        <v>1.0805804260574251E-3</v>
      </c>
      <c r="V214" s="23">
        <f t="shared" si="34"/>
        <v>0.68470588235294116</v>
      </c>
      <c r="W214" s="24">
        <f t="shared" si="35"/>
        <v>2.6173979984603539E-3</v>
      </c>
      <c r="X214" s="24">
        <f t="shared" si="36"/>
        <v>0.1796850879901204</v>
      </c>
      <c r="Y214" s="23">
        <f t="shared" si="37"/>
        <v>0.99738260200153961</v>
      </c>
    </row>
    <row r="215" spans="1:25">
      <c r="A215">
        <v>215</v>
      </c>
      <c r="B215" t="s">
        <v>1058</v>
      </c>
      <c r="C215" t="s">
        <v>579</v>
      </c>
      <c r="D215" s="4">
        <v>45640.71875</v>
      </c>
      <c r="E215" s="10" t="s">
        <v>906</v>
      </c>
      <c r="F215" s="7">
        <v>230</v>
      </c>
      <c r="G215" s="7">
        <v>14</v>
      </c>
      <c r="H215" s="7">
        <v>2</v>
      </c>
      <c r="I215" s="7">
        <v>12</v>
      </c>
      <c r="J215" s="7">
        <v>216</v>
      </c>
      <c r="K215" s="7">
        <v>175</v>
      </c>
      <c r="L215" s="7">
        <v>79</v>
      </c>
      <c r="M215" s="7">
        <v>814</v>
      </c>
      <c r="N215" s="7">
        <v>43</v>
      </c>
      <c r="O215" s="7">
        <v>1</v>
      </c>
      <c r="P215" s="7">
        <v>87</v>
      </c>
      <c r="Q215" s="22">
        <f t="shared" si="29"/>
        <v>0.36574074074074076</v>
      </c>
      <c r="R215" s="22">
        <f t="shared" si="30"/>
        <v>0.40277777777777779</v>
      </c>
      <c r="S215" s="22" t="e">
        <f t="shared" si="31"/>
        <v>#N/A</v>
      </c>
      <c r="T215" s="22" t="e">
        <f t="shared" si="32"/>
        <v>#N/A</v>
      </c>
      <c r="U215" s="22">
        <f t="shared" si="33"/>
        <v>4.6296296296296294E-3</v>
      </c>
      <c r="V215" s="23">
        <f t="shared" si="34"/>
        <v>0.54430379746835444</v>
      </c>
      <c r="W215" s="24">
        <f t="shared" si="35"/>
        <v>6.0869565217391307E-2</v>
      </c>
      <c r="X215" s="24">
        <f t="shared" si="36"/>
        <v>0.19907407407407407</v>
      </c>
      <c r="Y215" s="23">
        <f t="shared" si="37"/>
        <v>0.93913043478260871</v>
      </c>
    </row>
    <row r="216" spans="1:25">
      <c r="A216">
        <v>216</v>
      </c>
      <c r="B216" t="s">
        <v>1061</v>
      </c>
      <c r="C216" t="s">
        <v>717</v>
      </c>
      <c r="D216" s="4">
        <v>45642.697916666664</v>
      </c>
      <c r="E216" s="10" t="s">
        <v>876</v>
      </c>
      <c r="F216" s="7">
        <v>6</v>
      </c>
      <c r="G216" s="7">
        <v>0</v>
      </c>
      <c r="H216" s="7">
        <v>0</v>
      </c>
      <c r="I216" s="7">
        <v>0</v>
      </c>
      <c r="J216" s="7">
        <v>6</v>
      </c>
      <c r="K216" s="7">
        <v>11</v>
      </c>
      <c r="L216" s="7">
        <v>3</v>
      </c>
      <c r="M216" s="7">
        <v>2</v>
      </c>
      <c r="N216" s="7">
        <v>2</v>
      </c>
      <c r="O216" s="7">
        <v>0</v>
      </c>
      <c r="P216" s="7">
        <v>2</v>
      </c>
      <c r="Q216" s="22">
        <f t="shared" si="29"/>
        <v>0.5</v>
      </c>
      <c r="R216" s="22">
        <f t="shared" si="30"/>
        <v>0.33333333333333331</v>
      </c>
      <c r="S216" s="22" t="e">
        <f t="shared" si="31"/>
        <v>#N/A</v>
      </c>
      <c r="T216" s="22" t="e">
        <f t="shared" si="32"/>
        <v>#N/A</v>
      </c>
      <c r="U216" s="22">
        <f t="shared" si="33"/>
        <v>0</v>
      </c>
      <c r="V216" s="23">
        <f t="shared" si="34"/>
        <v>0.66666666666666663</v>
      </c>
      <c r="W216" s="24">
        <f t="shared" si="35"/>
        <v>0</v>
      </c>
      <c r="X216" s="24">
        <f t="shared" si="36"/>
        <v>0.33333333333333331</v>
      </c>
      <c r="Y216" s="23">
        <f t="shared" si="37"/>
        <v>1</v>
      </c>
    </row>
    <row r="217" spans="1:25">
      <c r="A217">
        <v>217</v>
      </c>
      <c r="B217" t="s">
        <v>964</v>
      </c>
      <c r="C217" t="s">
        <v>530</v>
      </c>
      <c r="D217" s="4">
        <v>45645.677083333336</v>
      </c>
      <c r="E217" s="10" t="s">
        <v>888</v>
      </c>
      <c r="F217" s="7">
        <v>2255</v>
      </c>
      <c r="G217" s="7">
        <v>17</v>
      </c>
      <c r="H217" s="7">
        <v>1</v>
      </c>
      <c r="I217" s="7">
        <v>16</v>
      </c>
      <c r="J217" s="7">
        <v>2238</v>
      </c>
      <c r="K217" s="7">
        <v>772</v>
      </c>
      <c r="L217" s="7">
        <v>561</v>
      </c>
      <c r="M217" s="7">
        <v>53</v>
      </c>
      <c r="N217" s="7">
        <v>42</v>
      </c>
      <c r="O217" s="7">
        <v>1</v>
      </c>
      <c r="P217" s="7">
        <v>612</v>
      </c>
      <c r="Q217" s="22">
        <f t="shared" si="29"/>
        <v>0.25067024128686327</v>
      </c>
      <c r="R217" s="22">
        <f t="shared" si="30"/>
        <v>0.27345844504021449</v>
      </c>
      <c r="S217" s="22" t="e">
        <f t="shared" si="31"/>
        <v>#N/A</v>
      </c>
      <c r="T217" s="22" t="e">
        <f t="shared" si="32"/>
        <v>#N/A</v>
      </c>
      <c r="U217" s="22">
        <f t="shared" si="33"/>
        <v>4.4682752457551384E-4</v>
      </c>
      <c r="V217" s="23">
        <f t="shared" si="34"/>
        <v>7.4866310160427801E-2</v>
      </c>
      <c r="W217" s="24">
        <f t="shared" si="35"/>
        <v>7.5388026607538803E-3</v>
      </c>
      <c r="X217" s="24">
        <f t="shared" si="36"/>
        <v>1.876675603217158E-2</v>
      </c>
      <c r="Y217" s="23">
        <f t="shared" si="37"/>
        <v>0.99246119733924609</v>
      </c>
    </row>
    <row r="218" spans="1:25">
      <c r="A218">
        <v>218</v>
      </c>
      <c r="B218" t="s">
        <v>697</v>
      </c>
      <c r="C218" t="s">
        <v>718</v>
      </c>
      <c r="D218" s="4">
        <v>45645.703761574077</v>
      </c>
      <c r="E218" s="10" t="s">
        <v>907</v>
      </c>
      <c r="F218" s="7">
        <v>151</v>
      </c>
      <c r="G218" s="7">
        <v>0</v>
      </c>
      <c r="H218" s="7">
        <v>0</v>
      </c>
      <c r="I218" s="7">
        <v>0</v>
      </c>
      <c r="J218" s="7">
        <v>151</v>
      </c>
      <c r="K218" s="7">
        <v>761</v>
      </c>
      <c r="L218" s="7">
        <v>104</v>
      </c>
      <c r="M218" s="7">
        <v>238</v>
      </c>
      <c r="N218" s="7">
        <v>79</v>
      </c>
      <c r="O218" s="7">
        <v>0</v>
      </c>
      <c r="P218" s="7">
        <v>143</v>
      </c>
      <c r="Q218" s="22">
        <f t="shared" si="29"/>
        <v>0.6887417218543046</v>
      </c>
      <c r="R218" s="22">
        <f t="shared" si="30"/>
        <v>0.94701986754966883</v>
      </c>
      <c r="S218" s="22">
        <f t="shared" si="31"/>
        <v>0.94701986754966883</v>
      </c>
      <c r="T218" s="22" t="e">
        <f t="shared" si="32"/>
        <v>#N/A</v>
      </c>
      <c r="U218" s="22">
        <f t="shared" si="33"/>
        <v>0</v>
      </c>
      <c r="V218" s="23">
        <f t="shared" si="34"/>
        <v>0.75961538461538458</v>
      </c>
      <c r="W218" s="24">
        <f t="shared" si="35"/>
        <v>0</v>
      </c>
      <c r="X218" s="24">
        <f t="shared" si="36"/>
        <v>0.52317880794701987</v>
      </c>
      <c r="Y218" s="23">
        <f t="shared" si="37"/>
        <v>1</v>
      </c>
    </row>
    <row r="219" spans="1:25">
      <c r="A219">
        <v>219</v>
      </c>
      <c r="B219" t="s">
        <v>966</v>
      </c>
      <c r="C219" t="s">
        <v>537</v>
      </c>
      <c r="D219" s="4">
        <v>45645.770138888889</v>
      </c>
      <c r="E219" s="10" t="s">
        <v>908</v>
      </c>
      <c r="F219" s="7">
        <v>640</v>
      </c>
      <c r="G219" s="7">
        <v>2</v>
      </c>
      <c r="H219" s="7">
        <v>0</v>
      </c>
      <c r="I219" s="7">
        <v>2</v>
      </c>
      <c r="J219" s="7">
        <v>638</v>
      </c>
      <c r="K219" s="7">
        <v>384</v>
      </c>
      <c r="L219" s="7">
        <v>203</v>
      </c>
      <c r="M219" s="7">
        <v>1583</v>
      </c>
      <c r="N219" s="7">
        <v>105</v>
      </c>
      <c r="O219" s="7">
        <v>0</v>
      </c>
      <c r="P219" s="7">
        <v>197</v>
      </c>
      <c r="Q219" s="22">
        <f t="shared" si="29"/>
        <v>0.31818181818181818</v>
      </c>
      <c r="R219" s="22">
        <f t="shared" si="30"/>
        <v>0.30877742946708464</v>
      </c>
      <c r="S219" s="22" t="e">
        <f t="shared" si="31"/>
        <v>#N/A</v>
      </c>
      <c r="T219" s="22" t="e">
        <f t="shared" si="32"/>
        <v>#N/A</v>
      </c>
      <c r="U219" s="22">
        <f t="shared" si="33"/>
        <v>0</v>
      </c>
      <c r="V219" s="23">
        <f t="shared" si="34"/>
        <v>0.51724137931034486</v>
      </c>
      <c r="W219" s="24">
        <f t="shared" si="35"/>
        <v>3.1250000000000002E-3</v>
      </c>
      <c r="X219" s="24">
        <f t="shared" si="36"/>
        <v>0.16457680250783699</v>
      </c>
      <c r="Y219" s="23">
        <f t="shared" si="37"/>
        <v>0.99687499999999996</v>
      </c>
    </row>
    <row r="220" spans="1:25">
      <c r="A220">
        <v>220</v>
      </c>
      <c r="B220" t="s">
        <v>1058</v>
      </c>
      <c r="C220" t="s">
        <v>578</v>
      </c>
      <c r="D220" s="4">
        <v>45646.197916666664</v>
      </c>
      <c r="E220" s="10" t="s">
        <v>909</v>
      </c>
      <c r="F220" s="7">
        <v>5535</v>
      </c>
      <c r="G220" s="7">
        <v>10</v>
      </c>
      <c r="H220" s="7">
        <v>1</v>
      </c>
      <c r="I220" s="7">
        <v>9</v>
      </c>
      <c r="J220" s="7">
        <v>5525</v>
      </c>
      <c r="K220" s="7">
        <v>2217</v>
      </c>
      <c r="L220" s="7">
        <v>1671</v>
      </c>
      <c r="M220" s="7">
        <v>18074</v>
      </c>
      <c r="N220" s="7">
        <v>1153</v>
      </c>
      <c r="O220" s="7">
        <v>5</v>
      </c>
      <c r="P220" s="7">
        <v>3392</v>
      </c>
      <c r="Q220" s="22">
        <f t="shared" si="29"/>
        <v>0.30244343891402714</v>
      </c>
      <c r="R220" s="22">
        <f t="shared" si="30"/>
        <v>0.61393665158371036</v>
      </c>
      <c r="S220" s="22" t="e">
        <f t="shared" si="31"/>
        <v>#N/A</v>
      </c>
      <c r="T220" s="22" t="e">
        <f t="shared" si="32"/>
        <v>#N/A</v>
      </c>
      <c r="U220" s="22">
        <f t="shared" si="33"/>
        <v>9.049773755656109E-4</v>
      </c>
      <c r="V220" s="23">
        <f t="shared" si="34"/>
        <v>0.6900059844404548</v>
      </c>
      <c r="W220" s="24">
        <f t="shared" si="35"/>
        <v>1.8066847335140017E-3</v>
      </c>
      <c r="X220" s="24">
        <f t="shared" si="36"/>
        <v>0.20868778280542988</v>
      </c>
      <c r="Y220" s="23">
        <f t="shared" si="37"/>
        <v>0.99819331526648603</v>
      </c>
    </row>
    <row r="221" spans="1:25">
      <c r="A221">
        <v>221</v>
      </c>
      <c r="B221" t="s">
        <v>1049</v>
      </c>
      <c r="C221" t="s">
        <v>575</v>
      </c>
      <c r="D221" s="4">
        <v>45646.708333333336</v>
      </c>
      <c r="E221" s="10" t="s">
        <v>812</v>
      </c>
      <c r="F221" s="7">
        <v>203</v>
      </c>
      <c r="G221" s="7">
        <v>0</v>
      </c>
      <c r="H221" s="7">
        <v>0</v>
      </c>
      <c r="I221" s="7">
        <v>0</v>
      </c>
      <c r="J221" s="7">
        <v>203</v>
      </c>
      <c r="K221" s="7">
        <v>127</v>
      </c>
      <c r="L221" s="7">
        <v>63</v>
      </c>
      <c r="M221" s="7">
        <v>89</v>
      </c>
      <c r="N221" s="7">
        <v>44</v>
      </c>
      <c r="O221" s="7">
        <v>0</v>
      </c>
      <c r="P221" s="7">
        <v>60</v>
      </c>
      <c r="Q221" s="22">
        <f t="shared" si="29"/>
        <v>0.31034482758620691</v>
      </c>
      <c r="R221" s="22">
        <f t="shared" si="30"/>
        <v>0.29556650246305421</v>
      </c>
      <c r="S221" s="22" t="e">
        <f t="shared" si="31"/>
        <v>#N/A</v>
      </c>
      <c r="T221" s="22" t="e">
        <f t="shared" si="32"/>
        <v>#N/A</v>
      </c>
      <c r="U221" s="22">
        <f t="shared" si="33"/>
        <v>0</v>
      </c>
      <c r="V221" s="23">
        <f t="shared" si="34"/>
        <v>0.69841269841269837</v>
      </c>
      <c r="W221" s="24">
        <f t="shared" si="35"/>
        <v>0</v>
      </c>
      <c r="X221" s="24">
        <f t="shared" si="36"/>
        <v>0.21674876847290642</v>
      </c>
      <c r="Y221" s="23">
        <f t="shared" si="37"/>
        <v>1</v>
      </c>
    </row>
    <row r="222" spans="1:25">
      <c r="A222">
        <v>222</v>
      </c>
      <c r="B222" t="s">
        <v>967</v>
      </c>
      <c r="C222" t="s">
        <v>547</v>
      </c>
      <c r="D222" s="4">
        <v>45648.671527777777</v>
      </c>
      <c r="E222" s="10" t="s">
        <v>910</v>
      </c>
      <c r="F222" s="7">
        <v>10791</v>
      </c>
      <c r="G222" s="7">
        <v>32</v>
      </c>
      <c r="H222" s="7">
        <v>9</v>
      </c>
      <c r="I222" s="7">
        <v>23</v>
      </c>
      <c r="J222" s="7">
        <v>10759</v>
      </c>
      <c r="K222" s="7">
        <v>3541</v>
      </c>
      <c r="L222" s="7">
        <v>2649</v>
      </c>
      <c r="M222" s="7">
        <v>6170</v>
      </c>
      <c r="N222" s="7">
        <v>1765</v>
      </c>
      <c r="O222" s="7">
        <v>11</v>
      </c>
      <c r="P222" s="7">
        <v>2345</v>
      </c>
      <c r="Q222" s="22">
        <f t="shared" si="29"/>
        <v>0.24621247327818571</v>
      </c>
      <c r="R222" s="22">
        <f t="shared" si="30"/>
        <v>0.21795705920624595</v>
      </c>
      <c r="S222" s="22" t="e">
        <f t="shared" si="31"/>
        <v>#N/A</v>
      </c>
      <c r="T222" s="22" t="e">
        <f t="shared" si="32"/>
        <v>#N/A</v>
      </c>
      <c r="U222" s="22">
        <f t="shared" si="33"/>
        <v>1.0223998512872944E-3</v>
      </c>
      <c r="V222" s="23">
        <f t="shared" si="34"/>
        <v>0.6662891657229143</v>
      </c>
      <c r="W222" s="24">
        <f t="shared" si="35"/>
        <v>2.9654341580947086E-3</v>
      </c>
      <c r="X222" s="24">
        <f t="shared" si="36"/>
        <v>0.16404870341109767</v>
      </c>
      <c r="Y222" s="23">
        <f t="shared" si="37"/>
        <v>0.99703456584190531</v>
      </c>
    </row>
    <row r="223" spans="1:25">
      <c r="A223">
        <v>223</v>
      </c>
      <c r="B223" t="s">
        <v>1049</v>
      </c>
      <c r="C223" t="s">
        <v>574</v>
      </c>
      <c r="D223" s="4">
        <v>45652.709027777775</v>
      </c>
      <c r="E223" s="10" t="s">
        <v>911</v>
      </c>
      <c r="F223" s="7">
        <v>1027</v>
      </c>
      <c r="G223" s="7">
        <v>0</v>
      </c>
      <c r="H223" s="7">
        <v>0</v>
      </c>
      <c r="I223" s="7">
        <v>0</v>
      </c>
      <c r="J223" s="7">
        <v>1027</v>
      </c>
      <c r="K223" s="7">
        <v>731</v>
      </c>
      <c r="L223" s="7">
        <v>381</v>
      </c>
      <c r="M223" s="7">
        <v>371</v>
      </c>
      <c r="N223" s="7">
        <v>199</v>
      </c>
      <c r="O223" s="7">
        <v>1</v>
      </c>
      <c r="P223" s="7">
        <v>384</v>
      </c>
      <c r="Q223" s="22">
        <f t="shared" si="29"/>
        <v>0.37098344693281404</v>
      </c>
      <c r="R223" s="22">
        <f t="shared" si="30"/>
        <v>0.37390457643622199</v>
      </c>
      <c r="S223" s="22" t="e">
        <f t="shared" si="31"/>
        <v>#N/A</v>
      </c>
      <c r="T223" s="22" t="e">
        <f t="shared" si="32"/>
        <v>#N/A</v>
      </c>
      <c r="U223" s="22">
        <f t="shared" si="33"/>
        <v>9.7370983446932818E-4</v>
      </c>
      <c r="V223" s="23">
        <f t="shared" si="34"/>
        <v>0.52230971128608927</v>
      </c>
      <c r="W223" s="24">
        <f t="shared" si="35"/>
        <v>0</v>
      </c>
      <c r="X223" s="24">
        <f t="shared" si="36"/>
        <v>0.19376825705939629</v>
      </c>
      <c r="Y223" s="23">
        <f t="shared" si="37"/>
        <v>1</v>
      </c>
    </row>
    <row r="224" spans="1:25">
      <c r="A224">
        <v>224</v>
      </c>
      <c r="B224" t="s">
        <v>1058</v>
      </c>
      <c r="C224" t="s">
        <v>577</v>
      </c>
      <c r="D224" s="4">
        <v>45654.710416666669</v>
      </c>
      <c r="E224" s="10" t="s">
        <v>912</v>
      </c>
      <c r="F224" s="7">
        <v>5477</v>
      </c>
      <c r="G224" s="7">
        <v>8</v>
      </c>
      <c r="H224" s="7">
        <v>6</v>
      </c>
      <c r="I224" s="7">
        <v>2</v>
      </c>
      <c r="J224" s="7">
        <v>5469</v>
      </c>
      <c r="K224" s="7">
        <v>1990</v>
      </c>
      <c r="L224" s="7">
        <v>1551</v>
      </c>
      <c r="M224" s="7">
        <v>17760</v>
      </c>
      <c r="N224" s="7">
        <v>1181</v>
      </c>
      <c r="O224" s="7">
        <v>8</v>
      </c>
      <c r="P224" s="7">
        <v>3334</v>
      </c>
      <c r="Q224" s="22">
        <f t="shared" si="29"/>
        <v>0.28359846407021394</v>
      </c>
      <c r="R224" s="22">
        <f t="shared" si="30"/>
        <v>0.60961784604132385</v>
      </c>
      <c r="S224" s="22" t="e">
        <f t="shared" si="31"/>
        <v>#N/A</v>
      </c>
      <c r="T224" s="22" t="e">
        <f t="shared" si="32"/>
        <v>#N/A</v>
      </c>
      <c r="U224" s="22">
        <f t="shared" si="33"/>
        <v>1.4627902724446882E-3</v>
      </c>
      <c r="V224" s="23">
        <f t="shared" si="34"/>
        <v>0.76144422952933588</v>
      </c>
      <c r="W224" s="24">
        <f t="shared" si="35"/>
        <v>1.4606536425050211E-3</v>
      </c>
      <c r="X224" s="24">
        <f t="shared" si="36"/>
        <v>0.21594441396964711</v>
      </c>
      <c r="Y224" s="23">
        <f t="shared" si="37"/>
        <v>0.99853934635749497</v>
      </c>
    </row>
    <row r="225" spans="1:25">
      <c r="A225">
        <v>225</v>
      </c>
      <c r="B225" t="s">
        <v>966</v>
      </c>
      <c r="C225" t="s">
        <v>536</v>
      </c>
      <c r="D225" s="4">
        <v>45656.656944444447</v>
      </c>
      <c r="E225" s="10" t="s">
        <v>901</v>
      </c>
      <c r="F225" s="7">
        <v>5204</v>
      </c>
      <c r="G225" s="7">
        <v>8</v>
      </c>
      <c r="H225" s="7">
        <v>5</v>
      </c>
      <c r="I225" s="7">
        <v>3</v>
      </c>
      <c r="J225" s="7">
        <v>5196</v>
      </c>
      <c r="K225" s="7">
        <v>2334</v>
      </c>
      <c r="L225" s="7">
        <v>1764</v>
      </c>
      <c r="M225" s="7">
        <v>3208</v>
      </c>
      <c r="N225" s="7">
        <v>1340</v>
      </c>
      <c r="O225" s="7">
        <v>8</v>
      </c>
      <c r="P225" s="7">
        <v>3061</v>
      </c>
      <c r="Q225" s="22">
        <f t="shared" si="29"/>
        <v>0.33949191685912239</v>
      </c>
      <c r="R225" s="22">
        <f t="shared" si="30"/>
        <v>0.5891070053887606</v>
      </c>
      <c r="S225" s="22" t="e">
        <f t="shared" si="31"/>
        <v>#N/A</v>
      </c>
      <c r="T225" s="22" t="e">
        <f t="shared" si="32"/>
        <v>#N/A</v>
      </c>
      <c r="U225" s="22">
        <f t="shared" si="33"/>
        <v>1.539645881447267E-3</v>
      </c>
      <c r="V225" s="23">
        <f t="shared" si="34"/>
        <v>0.75963718820861681</v>
      </c>
      <c r="W225" s="24">
        <f t="shared" si="35"/>
        <v>1.5372790161414297E-3</v>
      </c>
      <c r="X225" s="24">
        <f t="shared" si="36"/>
        <v>0.25789068514241725</v>
      </c>
      <c r="Y225" s="23">
        <f t="shared" si="37"/>
        <v>0.99846272098385858</v>
      </c>
    </row>
    <row r="230" spans="1:25" s="12" customFormat="1">
      <c r="D230" s="13"/>
      <c r="E230" s="14"/>
      <c r="F230" s="15"/>
      <c r="G230" s="15"/>
      <c r="H230" s="15"/>
      <c r="I230" s="15"/>
      <c r="J230" s="15"/>
      <c r="K230" s="15"/>
      <c r="L230" s="15"/>
      <c r="M230" s="15"/>
      <c r="N230" s="15"/>
      <c r="O230" s="15"/>
      <c r="P230" s="15"/>
      <c r="Q230" s="25"/>
      <c r="R230" s="25"/>
      <c r="S230" s="25"/>
      <c r="T230" s="25"/>
      <c r="U230" s="25"/>
      <c r="V230" s="25"/>
      <c r="W230" s="26"/>
      <c r="X230" s="26"/>
      <c r="Y230" s="25"/>
    </row>
  </sheetData>
  <sortState ref="C2:P225">
    <sortCondition ref="D2"/>
  </sortState>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Target Audience (Dashboard) </vt:lpstr>
      <vt:lpstr>Email Performance (Dashboard)</vt:lpstr>
      <vt:lpstr>Sector</vt:lpstr>
      <vt:lpstr>Seniority</vt:lpstr>
      <vt:lpstr>Subscriber growth</vt:lpstr>
      <vt:lpstr>New subscriber by source</vt:lpstr>
      <vt:lpstr>Best worst campaign</vt:lpstr>
      <vt:lpstr>Email performance per campaign </vt:lpstr>
      <vt:lpstr>Email performance over time </vt:lpstr>
      <vt:lpstr>Key Target Audience</vt:lpstr>
      <vt:lpstr>Contact Database</vt:lpstr>
      <vt:lpstr>2024 Email Campaign</vt:lpstr>
    </vt:vector>
  </TitlesOfParts>
  <Company>Clarion Events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Iman Salih</dc:creator>
  <cp:lastModifiedBy>Microsoft Office User</cp:lastModifiedBy>
  <dcterms:created xsi:type="dcterms:W3CDTF">2023-03-15T13:33:57Z</dcterms:created>
  <dcterms:modified xsi:type="dcterms:W3CDTF">2026-01-21T01:06:36Z</dcterms:modified>
</cp:coreProperties>
</file>